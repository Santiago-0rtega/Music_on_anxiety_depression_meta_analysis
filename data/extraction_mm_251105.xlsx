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f2fba3d3057d582/Github repos/Music_on_anxiety_depression_meta_analysis/data/"/>
    </mc:Choice>
  </mc:AlternateContent>
  <xr:revisionPtr revIDLastSave="6545" documentId="8_{069A1E92-6A17-4742-A179-A8BD204F6CF5}" xr6:coauthVersionLast="47" xr6:coauthVersionMax="47" xr10:uidLastSave="{89FAA3BE-E731-47CB-B96D-FF08B07F7B46}"/>
  <bookViews>
    <workbookView minimized="1" xWindow="42570" yWindow="2670" windowWidth="28800" windowHeight="15370" activeTab="1" xr2:uid="{63CF1AEA-BDD1-4AC6-B12A-ECAC64971320}"/>
  </bookViews>
  <sheets>
    <sheet name="metadata" sheetId="1" r:id="rId1"/>
    <sheet name="extract" sheetId="2" r:id="rId2"/>
    <sheet name="meta genres" sheetId="8" r:id="rId3"/>
    <sheet name="Music_Exposure_Duration" sheetId="7" r:id="rId4"/>
    <sheet name="drop-lists" sheetId="3" r:id="rId5"/>
    <sheet name="experimental designs" sheetId="4" r:id="rId6"/>
    <sheet name="Inducing_procedures" sheetId="5" r:id="rId7"/>
    <sheet name="assays" sheetId="6" r:id="rId8"/>
  </sheets>
  <definedNames>
    <definedName name="_xlnm._FilterDatabase" localSheetId="1" hidden="1">extract!$A$1:$CL$299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26" i="2" l="1"/>
  <c r="CL26" i="2" s="1"/>
  <c r="CK3" i="2"/>
  <c r="CL3" i="2" s="1"/>
  <c r="CK4" i="2"/>
  <c r="CL4" i="2" s="1"/>
  <c r="CK5" i="2"/>
  <c r="CL5" i="2" s="1"/>
  <c r="CK6" i="2"/>
  <c r="CL6" i="2" s="1"/>
  <c r="CK7" i="2"/>
  <c r="CL7" i="2" s="1"/>
  <c r="CK8" i="2"/>
  <c r="CL8" i="2" s="1"/>
  <c r="CK9" i="2"/>
  <c r="CL9" i="2" s="1"/>
  <c r="CK10" i="2"/>
  <c r="CL10" i="2" s="1"/>
  <c r="CK11" i="2"/>
  <c r="CL11" i="2" s="1"/>
  <c r="CK12" i="2"/>
  <c r="CL12" i="2" s="1"/>
  <c r="CK13" i="2"/>
  <c r="CL13" i="2" s="1"/>
  <c r="CK14" i="2"/>
  <c r="CL14" i="2" s="1"/>
  <c r="CK15" i="2"/>
  <c r="CL15" i="2" s="1"/>
  <c r="CK16" i="2"/>
  <c r="CL16" i="2" s="1"/>
  <c r="CK17" i="2"/>
  <c r="CL17" i="2" s="1"/>
  <c r="CK18" i="2"/>
  <c r="CL18" i="2" s="1"/>
  <c r="CK19" i="2"/>
  <c r="CL19" i="2" s="1"/>
  <c r="CK20" i="2"/>
  <c r="CL20" i="2" s="1"/>
  <c r="CK21" i="2"/>
  <c r="CL21" i="2" s="1"/>
  <c r="CK22" i="2"/>
  <c r="CL22" i="2" s="1"/>
  <c r="CK23" i="2"/>
  <c r="CL23" i="2" s="1"/>
  <c r="CK24" i="2"/>
  <c r="CL24" i="2" s="1"/>
  <c r="CK25" i="2"/>
  <c r="CL25" i="2" s="1"/>
  <c r="CK27" i="2"/>
  <c r="CL27" i="2" s="1"/>
  <c r="CK28" i="2"/>
  <c r="CL28" i="2" s="1"/>
  <c r="CK29" i="2"/>
  <c r="CL29" i="2" s="1"/>
  <c r="CK30" i="2"/>
  <c r="CL30" i="2" s="1"/>
  <c r="CK31" i="2"/>
  <c r="CL31" i="2" s="1"/>
  <c r="CK32" i="2"/>
  <c r="CL32" i="2" s="1"/>
  <c r="CK33" i="2"/>
  <c r="CL33" i="2" s="1"/>
  <c r="CK34" i="2"/>
  <c r="CL34" i="2" s="1"/>
  <c r="CK35" i="2"/>
  <c r="CL35" i="2" s="1"/>
  <c r="CK36" i="2"/>
  <c r="CL36" i="2" s="1"/>
  <c r="CK37" i="2"/>
  <c r="CL37" i="2" s="1"/>
  <c r="CK38" i="2"/>
  <c r="CL38" i="2" s="1"/>
  <c r="CK39" i="2"/>
  <c r="CL39" i="2" s="1"/>
  <c r="CK40" i="2"/>
  <c r="CL40" i="2" s="1"/>
  <c r="CK41" i="2"/>
  <c r="CL41" i="2" s="1"/>
  <c r="CK42" i="2"/>
  <c r="CL42" i="2" s="1"/>
  <c r="CK43" i="2"/>
  <c r="CL43" i="2" s="1"/>
  <c r="CK44" i="2"/>
  <c r="CL44" i="2" s="1"/>
  <c r="CK45" i="2"/>
  <c r="CL45" i="2" s="1"/>
  <c r="CK46" i="2"/>
  <c r="CL46" i="2" s="1"/>
  <c r="CK47" i="2"/>
  <c r="CL47" i="2" s="1"/>
  <c r="CK48" i="2"/>
  <c r="CL48" i="2" s="1"/>
  <c r="CK49" i="2"/>
  <c r="CL49" i="2" s="1"/>
  <c r="CK50" i="2"/>
  <c r="CL50" i="2" s="1"/>
  <c r="CK51" i="2"/>
  <c r="CL51" i="2" s="1"/>
  <c r="CK52" i="2"/>
  <c r="CL52" i="2" s="1"/>
  <c r="CK53" i="2"/>
  <c r="CL53" i="2" s="1"/>
  <c r="CK54" i="2"/>
  <c r="CL54" i="2" s="1"/>
  <c r="CK55" i="2"/>
  <c r="CL55" i="2" s="1"/>
  <c r="CK56" i="2"/>
  <c r="CL56" i="2" s="1"/>
  <c r="CK57" i="2"/>
  <c r="CL57" i="2" s="1"/>
  <c r="CK58" i="2"/>
  <c r="CL58" i="2" s="1"/>
  <c r="CK59" i="2"/>
  <c r="CL59" i="2" s="1"/>
  <c r="CK60" i="2"/>
  <c r="CL60" i="2" s="1"/>
  <c r="CK61" i="2"/>
  <c r="CL61" i="2" s="1"/>
  <c r="CK62" i="2"/>
  <c r="CL62" i="2" s="1"/>
  <c r="CK63" i="2"/>
  <c r="CL63" i="2" s="1"/>
  <c r="CK64" i="2"/>
  <c r="CL64" i="2" s="1"/>
  <c r="CK65" i="2"/>
  <c r="CL65" i="2" s="1"/>
  <c r="CK66" i="2"/>
  <c r="CL66" i="2" s="1"/>
  <c r="CK67" i="2"/>
  <c r="CL67" i="2" s="1"/>
  <c r="CK68" i="2"/>
  <c r="CL68" i="2" s="1"/>
  <c r="CK69" i="2"/>
  <c r="CL69" i="2" s="1"/>
  <c r="CK70" i="2"/>
  <c r="CL70" i="2" s="1"/>
  <c r="CK71" i="2"/>
  <c r="CL71" i="2" s="1"/>
  <c r="CK72" i="2"/>
  <c r="CL72" i="2" s="1"/>
  <c r="CK73" i="2"/>
  <c r="CL73" i="2" s="1"/>
  <c r="CK74" i="2"/>
  <c r="CL74" i="2" s="1"/>
  <c r="CK75" i="2"/>
  <c r="CL75" i="2" s="1"/>
  <c r="CK76" i="2"/>
  <c r="CL76" i="2" s="1"/>
  <c r="CK77" i="2"/>
  <c r="CL77" i="2" s="1"/>
  <c r="CK78" i="2"/>
  <c r="CL78" i="2" s="1"/>
  <c r="CK79" i="2"/>
  <c r="CL79" i="2" s="1"/>
  <c r="CK80" i="2"/>
  <c r="CL80" i="2" s="1"/>
  <c r="CK81" i="2"/>
  <c r="CL81" i="2" s="1"/>
  <c r="CK82" i="2"/>
  <c r="CL82" i="2" s="1"/>
  <c r="CK83" i="2"/>
  <c r="CL83" i="2" s="1"/>
  <c r="CK84" i="2"/>
  <c r="CL84" i="2" s="1"/>
  <c r="CK85" i="2"/>
  <c r="CL85" i="2" s="1"/>
  <c r="CK86" i="2"/>
  <c r="CL86" i="2" s="1"/>
  <c r="CK87" i="2"/>
  <c r="CL87" i="2" s="1"/>
  <c r="CK88" i="2"/>
  <c r="CL88" i="2" s="1"/>
  <c r="CK89" i="2"/>
  <c r="CL89" i="2" s="1"/>
  <c r="CK90" i="2"/>
  <c r="CL90" i="2" s="1"/>
  <c r="CK91" i="2"/>
  <c r="CL91" i="2" s="1"/>
  <c r="CK92" i="2"/>
  <c r="CL92" i="2" s="1"/>
  <c r="CK93" i="2"/>
  <c r="CL93" i="2" s="1"/>
  <c r="CK94" i="2"/>
  <c r="CL94" i="2" s="1"/>
  <c r="CK95" i="2"/>
  <c r="CL95" i="2" s="1"/>
  <c r="CK96" i="2"/>
  <c r="CL96" i="2" s="1"/>
  <c r="CK97" i="2"/>
  <c r="CL97" i="2" s="1"/>
  <c r="CK98" i="2"/>
  <c r="CL98" i="2" s="1"/>
  <c r="CK99" i="2"/>
  <c r="CL99" i="2" s="1"/>
  <c r="CK100" i="2"/>
  <c r="CL100" i="2" s="1"/>
  <c r="CK101" i="2"/>
  <c r="CL101" i="2" s="1"/>
  <c r="CK102" i="2"/>
  <c r="CL102" i="2" s="1"/>
  <c r="CK103" i="2"/>
  <c r="CL103" i="2" s="1"/>
  <c r="CK104" i="2"/>
  <c r="CL104" i="2" s="1"/>
  <c r="CK105" i="2"/>
  <c r="CL105" i="2" s="1"/>
  <c r="CK106" i="2"/>
  <c r="CL106" i="2" s="1"/>
  <c r="CK107" i="2"/>
  <c r="CL107" i="2" s="1"/>
  <c r="CK108" i="2"/>
  <c r="CL108" i="2" s="1"/>
  <c r="CK109" i="2"/>
  <c r="CL109" i="2" s="1"/>
  <c r="CK110" i="2"/>
  <c r="CL110" i="2" s="1"/>
  <c r="CK111" i="2"/>
  <c r="CL111" i="2" s="1"/>
  <c r="CK112" i="2"/>
  <c r="CL112" i="2" s="1"/>
  <c r="CK113" i="2"/>
  <c r="CL113" i="2" s="1"/>
  <c r="CK114" i="2"/>
  <c r="CL114" i="2" s="1"/>
  <c r="CK115" i="2"/>
  <c r="CL115" i="2" s="1"/>
  <c r="CK116" i="2"/>
  <c r="CL116" i="2" s="1"/>
  <c r="CK117" i="2"/>
  <c r="CL117" i="2" s="1"/>
  <c r="CK118" i="2"/>
  <c r="CL118" i="2" s="1"/>
  <c r="CK119" i="2"/>
  <c r="CL119" i="2" s="1"/>
  <c r="CK120" i="2"/>
  <c r="CL120" i="2" s="1"/>
  <c r="CK121" i="2"/>
  <c r="CL121" i="2" s="1"/>
  <c r="CK122" i="2"/>
  <c r="CL122" i="2" s="1"/>
  <c r="CK123" i="2"/>
  <c r="CL123" i="2" s="1"/>
  <c r="CK124" i="2"/>
  <c r="CL124" i="2" s="1"/>
  <c r="CK125" i="2"/>
  <c r="CL125" i="2" s="1"/>
  <c r="CK126" i="2"/>
  <c r="CL126" i="2" s="1"/>
  <c r="CK127" i="2"/>
  <c r="CL127" i="2" s="1"/>
  <c r="CK128" i="2"/>
  <c r="CL128" i="2" s="1"/>
  <c r="CK129" i="2"/>
  <c r="CL129" i="2" s="1"/>
  <c r="CK130" i="2"/>
  <c r="CL130" i="2" s="1"/>
  <c r="CK131" i="2"/>
  <c r="CL131" i="2" s="1"/>
  <c r="CK132" i="2"/>
  <c r="CL132" i="2" s="1"/>
  <c r="CK133" i="2"/>
  <c r="CL133" i="2" s="1"/>
  <c r="CK134" i="2"/>
  <c r="CL134" i="2" s="1"/>
  <c r="CK135" i="2"/>
  <c r="CL135" i="2" s="1"/>
  <c r="CK136" i="2"/>
  <c r="CL136" i="2" s="1"/>
  <c r="CK137" i="2"/>
  <c r="CL137" i="2" s="1"/>
  <c r="CK138" i="2"/>
  <c r="CL138" i="2" s="1"/>
  <c r="CK139" i="2"/>
  <c r="CL139" i="2" s="1"/>
  <c r="CK140" i="2"/>
  <c r="CL140" i="2" s="1"/>
  <c r="CK141" i="2"/>
  <c r="CL141" i="2" s="1"/>
  <c r="CK142" i="2"/>
  <c r="CL142" i="2" s="1"/>
  <c r="CK143" i="2"/>
  <c r="CL143" i="2" s="1"/>
  <c r="CK144" i="2"/>
  <c r="CL144" i="2" s="1"/>
  <c r="CK145" i="2"/>
  <c r="CL145" i="2" s="1"/>
  <c r="CK146" i="2"/>
  <c r="CL146" i="2" s="1"/>
  <c r="CK147" i="2"/>
  <c r="CL147" i="2" s="1"/>
  <c r="CK148" i="2"/>
  <c r="CL148" i="2" s="1"/>
  <c r="CK149" i="2"/>
  <c r="CL149" i="2" s="1"/>
  <c r="CK150" i="2"/>
  <c r="CL150" i="2" s="1"/>
  <c r="CK151" i="2"/>
  <c r="CL151" i="2" s="1"/>
  <c r="CK152" i="2"/>
  <c r="CL152" i="2" s="1"/>
  <c r="CK153" i="2"/>
  <c r="CL153" i="2" s="1"/>
  <c r="CK154" i="2"/>
  <c r="CL154" i="2" s="1"/>
  <c r="CK155" i="2"/>
  <c r="CL155" i="2" s="1"/>
  <c r="CK156" i="2"/>
  <c r="CL156" i="2" s="1"/>
  <c r="CK157" i="2"/>
  <c r="CL157" i="2" s="1"/>
  <c r="CK158" i="2"/>
  <c r="CL158" i="2" s="1"/>
  <c r="CK159" i="2"/>
  <c r="CL159" i="2" s="1"/>
  <c r="CK160" i="2"/>
  <c r="CL160" i="2" s="1"/>
  <c r="CK161" i="2"/>
  <c r="CL161" i="2" s="1"/>
  <c r="CK162" i="2"/>
  <c r="CL162" i="2" s="1"/>
  <c r="CK163" i="2"/>
  <c r="CL163" i="2" s="1"/>
  <c r="CK164" i="2"/>
  <c r="CL164" i="2" s="1"/>
  <c r="CK165" i="2"/>
  <c r="CL165" i="2" s="1"/>
  <c r="CK166" i="2"/>
  <c r="CL166" i="2" s="1"/>
  <c r="CK167" i="2"/>
  <c r="CL167" i="2" s="1"/>
  <c r="CK168" i="2"/>
  <c r="CL168" i="2" s="1"/>
  <c r="CK169" i="2"/>
  <c r="CL169" i="2" s="1"/>
  <c r="CK170" i="2"/>
  <c r="CL170" i="2" s="1"/>
  <c r="CK171" i="2"/>
  <c r="CL171" i="2" s="1"/>
  <c r="CK172" i="2"/>
  <c r="CL172" i="2" s="1"/>
  <c r="CK173" i="2"/>
  <c r="CL173" i="2" s="1"/>
  <c r="CK174" i="2"/>
  <c r="CL174" i="2" s="1"/>
  <c r="CK175" i="2"/>
  <c r="CL175" i="2" s="1"/>
  <c r="CK176" i="2"/>
  <c r="CL176" i="2" s="1"/>
  <c r="CK177" i="2"/>
  <c r="CL177" i="2" s="1"/>
  <c r="CK178" i="2"/>
  <c r="CL178" i="2" s="1"/>
  <c r="CK179" i="2"/>
  <c r="CL179" i="2" s="1"/>
  <c r="CK180" i="2"/>
  <c r="CL180" i="2" s="1"/>
  <c r="CK181" i="2"/>
  <c r="CL181" i="2" s="1"/>
  <c r="CK182" i="2"/>
  <c r="CL182" i="2" s="1"/>
  <c r="CK183" i="2"/>
  <c r="CL183" i="2" s="1"/>
  <c r="CK184" i="2"/>
  <c r="CL184" i="2" s="1"/>
  <c r="CK185" i="2"/>
  <c r="CL185" i="2" s="1"/>
  <c r="CK186" i="2"/>
  <c r="CL186" i="2" s="1"/>
  <c r="CK187" i="2"/>
  <c r="CL187" i="2" s="1"/>
  <c r="CK188" i="2"/>
  <c r="CL188" i="2" s="1"/>
  <c r="CK189" i="2"/>
  <c r="CL189" i="2" s="1"/>
  <c r="CK190" i="2"/>
  <c r="CL190" i="2" s="1"/>
  <c r="CK191" i="2"/>
  <c r="CL191" i="2" s="1"/>
  <c r="CK192" i="2"/>
  <c r="CL192" i="2" s="1"/>
  <c r="CK193" i="2"/>
  <c r="CL193" i="2" s="1"/>
  <c r="CK194" i="2"/>
  <c r="CL194" i="2" s="1"/>
  <c r="CK195" i="2"/>
  <c r="CL195" i="2" s="1"/>
  <c r="CK196" i="2"/>
  <c r="CL196" i="2" s="1"/>
  <c r="CK197" i="2"/>
  <c r="CL197" i="2" s="1"/>
  <c r="CK198" i="2"/>
  <c r="CL198" i="2" s="1"/>
  <c r="CK199" i="2"/>
  <c r="CL199" i="2" s="1"/>
  <c r="CK200" i="2"/>
  <c r="CL200" i="2" s="1"/>
  <c r="CK201" i="2"/>
  <c r="CL201" i="2" s="1"/>
  <c r="CK202" i="2"/>
  <c r="CL202" i="2" s="1"/>
  <c r="CK203" i="2"/>
  <c r="CL203" i="2" s="1"/>
  <c r="CK204" i="2"/>
  <c r="CL204" i="2" s="1"/>
  <c r="CK205" i="2"/>
  <c r="CL205" i="2" s="1"/>
  <c r="CK206" i="2"/>
  <c r="CL206" i="2" s="1"/>
  <c r="CK207" i="2"/>
  <c r="CL207" i="2" s="1"/>
  <c r="CK208" i="2"/>
  <c r="CL208" i="2" s="1"/>
  <c r="CK209" i="2"/>
  <c r="CL209" i="2" s="1"/>
  <c r="CK210" i="2"/>
  <c r="CL210" i="2" s="1"/>
  <c r="CK211" i="2"/>
  <c r="CL211" i="2" s="1"/>
  <c r="CK212" i="2"/>
  <c r="CL212" i="2" s="1"/>
  <c r="CK213" i="2"/>
  <c r="CL213" i="2" s="1"/>
  <c r="CK214" i="2"/>
  <c r="CL214" i="2" s="1"/>
  <c r="CK215" i="2"/>
  <c r="CL215" i="2" s="1"/>
  <c r="CK216" i="2"/>
  <c r="CL216" i="2" s="1"/>
  <c r="CK217" i="2"/>
  <c r="CL217" i="2" s="1"/>
  <c r="CK218" i="2"/>
  <c r="CL218" i="2" s="1"/>
  <c r="CK219" i="2"/>
  <c r="CL219" i="2" s="1"/>
  <c r="CK220" i="2"/>
  <c r="CL220" i="2" s="1"/>
  <c r="CK221" i="2"/>
  <c r="CL221" i="2" s="1"/>
  <c r="CK222" i="2"/>
  <c r="CL222" i="2" s="1"/>
  <c r="CK223" i="2"/>
  <c r="CL223" i="2" s="1"/>
  <c r="CK224" i="2"/>
  <c r="CL224" i="2" s="1"/>
  <c r="CK225" i="2"/>
  <c r="CL225" i="2" s="1"/>
  <c r="CK226" i="2"/>
  <c r="CL226" i="2" s="1"/>
  <c r="CK227" i="2"/>
  <c r="CL227" i="2" s="1"/>
  <c r="CK228" i="2"/>
  <c r="CL228" i="2" s="1"/>
  <c r="CK229" i="2"/>
  <c r="CL229" i="2" s="1"/>
  <c r="CK230" i="2"/>
  <c r="CL230" i="2" s="1"/>
  <c r="CK231" i="2"/>
  <c r="CL231" i="2" s="1"/>
  <c r="CK232" i="2"/>
  <c r="CL232" i="2" s="1"/>
  <c r="CK233" i="2"/>
  <c r="CL233" i="2" s="1"/>
  <c r="CK234" i="2"/>
  <c r="CL234" i="2" s="1"/>
  <c r="CK235" i="2"/>
  <c r="CL235" i="2" s="1"/>
  <c r="CK236" i="2"/>
  <c r="CL236" i="2" s="1"/>
  <c r="CK237" i="2"/>
  <c r="CL237" i="2" s="1"/>
  <c r="CK238" i="2"/>
  <c r="CL238" i="2" s="1"/>
  <c r="CK239" i="2"/>
  <c r="CL239" i="2" s="1"/>
  <c r="CK240" i="2"/>
  <c r="CL240" i="2" s="1"/>
  <c r="CK241" i="2"/>
  <c r="CL241" i="2" s="1"/>
  <c r="CK242" i="2"/>
  <c r="CL242" i="2" s="1"/>
  <c r="CK243" i="2"/>
  <c r="CL243" i="2" s="1"/>
  <c r="CK244" i="2"/>
  <c r="CL244" i="2" s="1"/>
  <c r="CK245" i="2"/>
  <c r="CL245" i="2" s="1"/>
  <c r="CK246" i="2"/>
  <c r="CL246" i="2" s="1"/>
  <c r="CK247" i="2"/>
  <c r="CL247" i="2" s="1"/>
  <c r="CK248" i="2"/>
  <c r="CL248" i="2" s="1"/>
  <c r="CK249" i="2"/>
  <c r="CL249" i="2" s="1"/>
  <c r="CK250" i="2"/>
  <c r="CL250" i="2" s="1"/>
  <c r="CK251" i="2"/>
  <c r="CL251" i="2" s="1"/>
  <c r="CK252" i="2"/>
  <c r="CL252" i="2" s="1"/>
  <c r="CK253" i="2"/>
  <c r="CL253" i="2" s="1"/>
  <c r="CK254" i="2"/>
  <c r="CL254" i="2" s="1"/>
  <c r="CK255" i="2"/>
  <c r="CL255" i="2" s="1"/>
  <c r="CK256" i="2"/>
  <c r="CL256" i="2" s="1"/>
  <c r="CK257" i="2"/>
  <c r="CL257" i="2" s="1"/>
  <c r="CK258" i="2"/>
  <c r="CL258" i="2" s="1"/>
  <c r="CK259" i="2"/>
  <c r="CL259" i="2" s="1"/>
  <c r="CK260" i="2"/>
  <c r="CL260" i="2" s="1"/>
  <c r="CK261" i="2"/>
  <c r="CL261" i="2" s="1"/>
  <c r="CK262" i="2"/>
  <c r="CL262" i="2" s="1"/>
  <c r="CK263" i="2"/>
  <c r="CL263" i="2" s="1"/>
  <c r="CK264" i="2"/>
  <c r="CL264" i="2" s="1"/>
  <c r="CK265" i="2"/>
  <c r="CL265" i="2" s="1"/>
  <c r="CK266" i="2"/>
  <c r="CL266" i="2" s="1"/>
  <c r="CK267" i="2"/>
  <c r="CL267" i="2" s="1"/>
  <c r="CK268" i="2"/>
  <c r="CL268" i="2" s="1"/>
  <c r="CK269" i="2"/>
  <c r="CL269" i="2" s="1"/>
  <c r="CK270" i="2"/>
  <c r="CL270" i="2" s="1"/>
  <c r="CK271" i="2"/>
  <c r="CL271" i="2" s="1"/>
  <c r="CK272" i="2"/>
  <c r="CL272" i="2" s="1"/>
  <c r="CK273" i="2"/>
  <c r="CL273" i="2" s="1"/>
  <c r="CK274" i="2"/>
  <c r="CL274" i="2" s="1"/>
  <c r="CK275" i="2"/>
  <c r="CL275" i="2" s="1"/>
  <c r="CK276" i="2"/>
  <c r="CL276" i="2" s="1"/>
  <c r="CK277" i="2"/>
  <c r="CL277" i="2" s="1"/>
  <c r="CK278" i="2"/>
  <c r="CL278" i="2" s="1"/>
  <c r="CK279" i="2"/>
  <c r="CL279" i="2" s="1"/>
  <c r="CK280" i="2"/>
  <c r="CL280" i="2" s="1"/>
  <c r="CK281" i="2"/>
  <c r="CL281" i="2" s="1"/>
  <c r="CK282" i="2"/>
  <c r="CL282" i="2" s="1"/>
  <c r="CK283" i="2"/>
  <c r="CL283" i="2" s="1"/>
  <c r="CK284" i="2"/>
  <c r="CL284" i="2" s="1"/>
  <c r="CK285" i="2"/>
  <c r="CL285" i="2" s="1"/>
  <c r="CK286" i="2"/>
  <c r="CL286" i="2" s="1"/>
  <c r="CK287" i="2"/>
  <c r="CL287" i="2" s="1"/>
  <c r="CK288" i="2"/>
  <c r="CL288" i="2" s="1"/>
  <c r="CK289" i="2"/>
  <c r="CL289" i="2" s="1"/>
  <c r="CK290" i="2"/>
  <c r="CL290" i="2" s="1"/>
  <c r="CK291" i="2"/>
  <c r="CL291" i="2" s="1"/>
  <c r="CK292" i="2"/>
  <c r="CL292" i="2" s="1"/>
  <c r="CK293" i="2"/>
  <c r="CL293" i="2" s="1"/>
  <c r="CK294" i="2"/>
  <c r="CL294" i="2" s="1"/>
  <c r="CK295" i="2"/>
  <c r="CL295" i="2" s="1"/>
  <c r="CK296" i="2"/>
  <c r="CL296" i="2" s="1"/>
  <c r="CK297" i="2"/>
  <c r="CL297" i="2" s="1"/>
  <c r="CK298" i="2"/>
  <c r="CL298" i="2" s="1"/>
  <c r="CK299" i="2"/>
  <c r="CL299" i="2" s="1"/>
  <c r="CK2" i="2"/>
  <c r="CL2" i="2" s="1"/>
  <c r="BQ298" i="2"/>
  <c r="BR298" i="2"/>
  <c r="BQ299" i="2"/>
  <c r="BR299" i="2"/>
  <c r="BQ297" i="2"/>
  <c r="BR297" i="2"/>
  <c r="BR292" i="2"/>
  <c r="BR293" i="2"/>
  <c r="BR294" i="2"/>
  <c r="BR295" i="2"/>
  <c r="BR296" i="2"/>
  <c r="BQ293" i="2"/>
  <c r="BQ294" i="2"/>
  <c r="BQ295" i="2"/>
  <c r="BQ296" i="2"/>
  <c r="BQ292" i="2"/>
  <c r="BQ288" i="2"/>
  <c r="BR288" i="2"/>
  <c r="BQ289" i="2"/>
  <c r="BR289" i="2"/>
  <c r="BQ290" i="2"/>
  <c r="BR290" i="2"/>
  <c r="BQ291" i="2"/>
  <c r="BR291" i="2"/>
  <c r="BR284" i="2"/>
  <c r="BR285" i="2"/>
  <c r="BR286" i="2"/>
  <c r="BR287" i="2"/>
  <c r="BQ285" i="2"/>
  <c r="BQ286" i="2"/>
  <c r="BQ287" i="2"/>
  <c r="BQ284" i="2"/>
  <c r="BR280" i="2"/>
  <c r="BR281" i="2"/>
  <c r="BR282" i="2"/>
  <c r="BR283" i="2"/>
  <c r="BQ281" i="2"/>
  <c r="BQ282" i="2"/>
  <c r="BQ283" i="2"/>
  <c r="BQ280" i="2"/>
  <c r="BN299" i="2"/>
  <c r="BN298" i="2"/>
  <c r="BN297" i="2"/>
  <c r="BN296" i="2"/>
  <c r="BN295" i="2"/>
  <c r="BN294" i="2"/>
  <c r="BN293" i="2"/>
  <c r="BN292" i="2"/>
  <c r="BN291" i="2"/>
  <c r="BN290" i="2"/>
  <c r="BN289" i="2"/>
  <c r="BN288" i="2"/>
  <c r="BN287" i="2"/>
  <c r="BN286" i="2"/>
  <c r="BN285" i="2"/>
  <c r="BN284" i="2"/>
  <c r="BN280" i="2"/>
  <c r="BN281" i="2"/>
  <c r="BN283" i="2"/>
  <c r="BN282" i="2"/>
  <c r="BQ279" i="2"/>
  <c r="BR279" i="2"/>
  <c r="BR278" i="2"/>
  <c r="BQ278" i="2"/>
  <c r="BN278" i="2"/>
  <c r="BN279" i="2"/>
  <c r="BR277" i="2"/>
  <c r="BR276" i="2"/>
  <c r="BR275" i="2"/>
  <c r="BR274" i="2"/>
  <c r="BQ275" i="2"/>
  <c r="BQ276" i="2"/>
  <c r="BQ277" i="2"/>
  <c r="BQ274" i="2"/>
  <c r="BN274" i="2"/>
  <c r="BN275" i="2"/>
  <c r="BN276" i="2"/>
  <c r="BN277" i="2"/>
  <c r="BQ266" i="2"/>
  <c r="BR273" i="2"/>
  <c r="BR272" i="2"/>
  <c r="BR271" i="2"/>
  <c r="BR270" i="2"/>
  <c r="BR269" i="2"/>
  <c r="BR268" i="2"/>
  <c r="BR267" i="2"/>
  <c r="BR266" i="2"/>
  <c r="BQ267" i="2"/>
  <c r="BQ268" i="2"/>
  <c r="BQ269" i="2"/>
  <c r="BQ270" i="2"/>
  <c r="BQ271" i="2"/>
  <c r="BQ272" i="2"/>
  <c r="BQ273" i="2"/>
  <c r="BN266" i="2"/>
  <c r="BN267" i="2"/>
  <c r="BN268" i="2"/>
  <c r="BN269" i="2"/>
  <c r="BN270" i="2"/>
  <c r="BN271" i="2"/>
  <c r="BN272" i="2"/>
  <c r="BN273" i="2"/>
  <c r="BR257" i="2"/>
  <c r="BR256" i="2"/>
  <c r="BR255" i="2"/>
  <c r="BR254" i="2"/>
  <c r="BQ255" i="2"/>
  <c r="BQ256" i="2"/>
  <c r="BQ257" i="2"/>
  <c r="BQ254" i="2"/>
  <c r="BN257" i="2"/>
  <c r="BN256" i="2"/>
  <c r="BN255" i="2"/>
  <c r="BN265" i="2"/>
  <c r="BN264" i="2"/>
  <c r="BN263" i="2"/>
  <c r="BN262" i="2"/>
  <c r="BN261" i="2"/>
  <c r="BN260" i="2"/>
  <c r="BN259" i="2"/>
  <c r="BN258" i="2"/>
  <c r="BN254" i="2"/>
  <c r="BN247" i="2"/>
  <c r="BN248" i="2"/>
  <c r="BN249" i="2"/>
  <c r="BN250" i="2"/>
  <c r="BN251" i="2"/>
  <c r="BN252" i="2"/>
  <c r="BN253" i="2"/>
  <c r="BN246" i="2"/>
  <c r="BN245" i="2"/>
  <c r="BN244" i="2"/>
  <c r="BN243" i="2"/>
  <c r="BN242" i="2"/>
  <c r="BN236" i="2"/>
  <c r="BN237" i="2"/>
  <c r="BN235" i="2"/>
  <c r="BN230" i="2"/>
  <c r="BN231" i="2"/>
  <c r="BN232" i="2"/>
  <c r="BN233" i="2"/>
  <c r="BN234" i="2"/>
  <c r="BN223" i="2"/>
  <c r="AC209" i="2"/>
  <c r="AC210" i="2"/>
  <c r="AC211" i="2"/>
  <c r="AC212" i="2"/>
  <c r="AC213" i="2"/>
  <c r="AC214" i="2"/>
  <c r="AC215" i="2"/>
  <c r="AC216" i="2"/>
  <c r="AC217" i="2"/>
  <c r="AC218" i="2"/>
  <c r="AC219" i="2"/>
  <c r="AC220" i="2"/>
  <c r="AC221" i="2"/>
  <c r="AC222" i="2"/>
  <c r="AC208" i="2"/>
  <c r="AM209" i="2"/>
  <c r="AM210" i="2"/>
  <c r="AM211" i="2"/>
  <c r="AM212" i="2"/>
  <c r="AM213" i="2"/>
  <c r="AM214" i="2"/>
  <c r="AM215" i="2"/>
  <c r="AM216" i="2"/>
  <c r="AM217" i="2"/>
  <c r="AM218" i="2"/>
  <c r="AM219" i="2"/>
  <c r="AM220" i="2"/>
  <c r="AM221" i="2"/>
  <c r="AM222" i="2"/>
  <c r="AM208" i="2"/>
  <c r="BN215" i="2"/>
  <c r="BN216" i="2"/>
  <c r="BN217" i="2"/>
  <c r="BN218" i="2"/>
  <c r="BN219" i="2"/>
  <c r="BN220" i="2"/>
  <c r="BN221" i="2"/>
  <c r="BN222" i="2"/>
  <c r="BN224" i="2"/>
  <c r="BN238" i="2"/>
  <c r="BN239" i="2"/>
  <c r="BN240" i="2"/>
  <c r="BN241" i="2"/>
  <c r="BN225" i="2"/>
  <c r="BN226" i="2"/>
  <c r="BN227" i="2"/>
  <c r="BN228" i="2"/>
  <c r="BN229" i="2"/>
  <c r="BN211" i="2"/>
  <c r="BN212" i="2"/>
  <c r="BN213" i="2"/>
  <c r="BN214" i="2"/>
  <c r="BN210" i="2"/>
  <c r="AM207" i="2"/>
  <c r="AC207" i="2"/>
  <c r="BN197" i="2"/>
  <c r="BN196" i="2"/>
  <c r="BN195" i="2"/>
  <c r="BN194" i="2"/>
  <c r="BN193" i="2"/>
  <c r="BN192" i="2"/>
  <c r="BN198" i="2"/>
  <c r="BN199" i="2"/>
  <c r="BN200" i="2"/>
  <c r="BN201" i="2"/>
  <c r="BN202" i="2"/>
  <c r="BN203" i="2"/>
  <c r="BN204" i="2"/>
  <c r="BN205" i="2"/>
  <c r="BN206" i="2"/>
  <c r="BN207" i="2"/>
  <c r="BN208" i="2"/>
  <c r="BN209" i="2"/>
  <c r="BN189" i="2"/>
  <c r="BN190" i="2"/>
  <c r="BN191" i="2"/>
  <c r="BN188" i="2"/>
  <c r="BN187" i="2"/>
  <c r="BN174" i="2"/>
  <c r="BN175" i="2"/>
  <c r="BN176" i="2"/>
  <c r="BN177" i="2"/>
  <c r="BN178" i="2"/>
  <c r="BN179" i="2"/>
  <c r="BN180" i="2"/>
  <c r="BN181" i="2"/>
  <c r="BN182" i="2"/>
  <c r="BN183" i="2"/>
  <c r="BN184" i="2"/>
  <c r="BN185" i="2"/>
  <c r="BN186" i="2"/>
  <c r="BN169" i="2"/>
  <c r="BN170" i="2"/>
  <c r="BN167" i="2"/>
  <c r="BN168" i="2"/>
  <c r="BN165" i="2"/>
  <c r="BN166" i="2"/>
  <c r="BN163" i="2"/>
  <c r="BN164" i="2"/>
  <c r="BN161" i="2"/>
  <c r="BN162" i="2"/>
  <c r="BN159" i="2"/>
  <c r="BN160" i="2"/>
  <c r="BN157" i="2"/>
  <c r="BN158" i="2"/>
  <c r="BN171" i="2"/>
  <c r="BN172" i="2"/>
  <c r="BN173" i="2"/>
  <c r="BN156" i="2"/>
  <c r="BN155" i="2"/>
  <c r="BN154" i="2"/>
  <c r="BN153" i="2"/>
  <c r="BN152" i="2"/>
  <c r="BN151" i="2"/>
  <c r="BN147" i="2"/>
  <c r="BN148" i="2"/>
  <c r="BN149" i="2"/>
  <c r="BN150" i="2"/>
  <c r="BN145" i="2"/>
  <c r="BN146" i="2"/>
  <c r="BN144" i="2"/>
  <c r="BN143" i="2"/>
  <c r="BN118" i="2"/>
  <c r="BN117" i="2"/>
  <c r="BN116" i="2"/>
  <c r="BN115" i="2"/>
  <c r="BN114" i="2"/>
  <c r="BN113" i="2"/>
  <c r="BN112" i="2"/>
  <c r="BN111" i="2"/>
  <c r="BN110" i="2"/>
  <c r="BN109" i="2"/>
  <c r="BN108" i="2"/>
  <c r="BN107" i="2"/>
  <c r="BN106" i="2"/>
  <c r="BN105" i="2"/>
  <c r="BN104" i="2"/>
  <c r="BN103" i="2"/>
  <c r="BN102" i="2"/>
  <c r="BN101" i="2"/>
  <c r="BN100" i="2"/>
  <c r="BN99" i="2"/>
  <c r="BN98" i="2"/>
  <c r="BN97" i="2"/>
  <c r="BN96" i="2"/>
  <c r="BN95" i="2"/>
  <c r="BN94" i="2"/>
  <c r="BN93" i="2"/>
  <c r="BN92" i="2"/>
  <c r="BN91" i="2"/>
  <c r="BN90" i="2"/>
  <c r="BN89" i="2"/>
  <c r="BN88" i="2"/>
  <c r="BN87" i="2"/>
  <c r="BN86" i="2"/>
  <c r="BN85" i="2"/>
  <c r="BN84" i="2"/>
  <c r="BN83" i="2"/>
  <c r="BN82" i="2"/>
  <c r="BN81" i="2"/>
  <c r="BN80" i="2"/>
  <c r="BN79" i="2"/>
  <c r="BN78" i="2"/>
  <c r="BN77" i="2"/>
  <c r="BN76" i="2"/>
  <c r="BN75" i="2"/>
  <c r="BN74" i="2"/>
  <c r="BN73" i="2"/>
  <c r="BN72" i="2"/>
  <c r="BN71" i="2"/>
  <c r="BN70" i="2"/>
  <c r="BN69" i="2"/>
  <c r="BN68" i="2"/>
  <c r="BN67" i="2"/>
  <c r="BN66" i="2"/>
  <c r="BN65" i="2"/>
  <c r="BN64" i="2"/>
  <c r="BN63" i="2"/>
  <c r="BN62" i="2"/>
  <c r="BN61" i="2"/>
  <c r="BN60" i="2"/>
  <c r="BN59" i="2"/>
  <c r="BN58" i="2"/>
  <c r="BN57" i="2"/>
  <c r="BN56" i="2"/>
  <c r="BN55" i="2"/>
  <c r="BN54" i="2"/>
  <c r="BN53" i="2"/>
  <c r="BN52" i="2"/>
  <c r="BN51" i="2"/>
  <c r="BN50" i="2"/>
  <c r="BN49" i="2"/>
  <c r="BN48" i="2"/>
  <c r="BN47" i="2"/>
  <c r="BN46" i="2"/>
  <c r="BN45" i="2"/>
  <c r="BN44" i="2"/>
  <c r="BN43" i="2"/>
  <c r="BN42" i="2"/>
  <c r="BN41" i="2"/>
  <c r="BN40" i="2"/>
  <c r="BN39" i="2"/>
  <c r="BN38" i="2"/>
  <c r="BN37" i="2"/>
  <c r="BN36" i="2"/>
  <c r="BN35" i="2"/>
  <c r="BN34" i="2"/>
  <c r="BN33" i="2"/>
  <c r="BN32" i="2"/>
  <c r="BN31" i="2"/>
  <c r="BN30" i="2"/>
  <c r="BN29" i="2"/>
  <c r="BN28" i="2"/>
  <c r="BN27" i="2"/>
  <c r="BN26" i="2"/>
  <c r="BN25" i="2"/>
  <c r="BN24" i="2"/>
  <c r="BN23" i="2"/>
  <c r="BN22" i="2"/>
  <c r="BN21" i="2"/>
  <c r="BN20" i="2"/>
  <c r="BN19" i="2"/>
  <c r="BN18" i="2"/>
  <c r="BN17" i="2"/>
  <c r="BN16" i="2"/>
  <c r="BN15" i="2"/>
  <c r="BN14" i="2"/>
  <c r="BN13" i="2"/>
  <c r="BN12" i="2"/>
  <c r="BN11" i="2"/>
  <c r="BN10" i="2"/>
  <c r="BN9" i="2"/>
  <c r="BN8" i="2"/>
  <c r="BN7" i="2"/>
  <c r="BN6" i="2"/>
  <c r="BN142" i="2"/>
  <c r="BN139" i="2"/>
  <c r="BN140" i="2"/>
  <c r="BN141" i="2"/>
  <c r="BN134" i="2"/>
  <c r="BN135" i="2"/>
  <c r="BN136" i="2"/>
  <c r="BN137" i="2"/>
  <c r="BN138" i="2"/>
  <c r="BN133" i="2"/>
  <c r="BN132" i="2"/>
  <c r="BN131" i="2"/>
  <c r="BN130" i="2"/>
  <c r="BN129" i="2"/>
  <c r="BN119" i="2"/>
  <c r="BN120" i="2"/>
  <c r="BN121" i="2"/>
  <c r="BN122" i="2"/>
  <c r="BN123" i="2"/>
  <c r="BN124" i="2"/>
  <c r="BN125" i="2"/>
  <c r="BN126" i="2"/>
  <c r="BN127" i="2"/>
  <c r="BN128" i="2"/>
  <c r="BN5" i="2"/>
  <c r="BN4" i="2"/>
  <c r="BN3" i="2"/>
  <c r="BN2" i="2"/>
</calcChain>
</file>

<file path=xl/sharedStrings.xml><?xml version="1.0" encoding="utf-8"?>
<sst xmlns="http://schemas.openxmlformats.org/spreadsheetml/2006/main" count="15012" uniqueCount="1126">
  <si>
    <t>Items</t>
  </si>
  <si>
    <t>Descriptions</t>
  </si>
  <si>
    <t>Study information</t>
  </si>
  <si>
    <t>ES_ID</t>
  </si>
  <si>
    <t>Effect size ID – A unique identifier for each control–experimental pair of measurements used to calculate an effect size (e.g., es0001).</t>
  </si>
  <si>
    <t>Title</t>
  </si>
  <si>
    <t>Title of the study</t>
  </si>
  <si>
    <t>DOI</t>
  </si>
  <si>
    <t>Short form DOI of the study (starting with “10.”)</t>
  </si>
  <si>
    <t>Publish_in</t>
  </si>
  <si>
    <t>The full name of the publisher. For journal articles, this will be the journal name; for theses, the university name</t>
  </si>
  <si>
    <t>Study_ID</t>
  </si>
  <si>
    <t>Unique identifier for the study. To prevent duplicates from the same author and year, the format will be “first author_year_journal abbreviation”. For example: Smith_2023_JNeurosc</t>
  </si>
  <si>
    <t xml:space="preserve">Year </t>
  </si>
  <si>
    <t>Year of publication </t>
  </si>
  <si>
    <t>Ex_ID</t>
  </si>
  <si>
    <r>
      <t>Unique identifier for each independent cohort of animals within a study, using a sequential numerical format (e.g., ex001, ex002).</t>
    </r>
    <r>
      <rPr>
        <sz val="11"/>
        <color theme="1"/>
        <rFont val="Calibri"/>
        <family val="2"/>
      </rPr>
      <t xml:space="preserve"> </t>
    </r>
    <r>
      <rPr>
        <sz val="11"/>
        <color theme="1"/>
        <rFont val="Trebuchet MS"/>
        <family val="2"/>
      </rPr>
      <t xml:space="preserve">For example, if a single cohort of animals is assessed using multiple different assays this is still considered a single experiment (ex001) with multiple outcome measures. </t>
    </r>
  </si>
  <si>
    <t>Exp_note</t>
  </si>
  <si>
    <t>Notes regarding the identifier for experimental cohorts of animals</t>
  </si>
  <si>
    <t>Outcome_ID</t>
  </si>
  <si>
    <t>Unique identifier for each measurement assay or outcome reported for a specific cohort (e.g., out001, out002).</t>
  </si>
  <si>
    <t>Outcome_notes</t>
  </si>
  <si>
    <t>Notes regarding the identifier for outcomes</t>
  </si>
  <si>
    <t xml:space="preserve">Population information </t>
  </si>
  <si>
    <t>Species_latin</t>
  </si>
  <si>
    <t>Latin (scientific) name of the model animal</t>
  </si>
  <si>
    <t>Species_common</t>
  </si>
  <si>
    <t>The common name of the model animal</t>
  </si>
  <si>
    <t>Strain</t>
  </si>
  <si>
    <t>Strain/breed of the model animal</t>
  </si>
  <si>
    <t>Sex</t>
  </si>
  <si>
    <t>Sex of the animals investigated: male, female, mixed. If not reported, the cell will be coded as “Not reported”.</t>
  </si>
  <si>
    <t>Lifestage_exposure</t>
  </si>
  <si>
    <t>Age category at exposure – Age category of the animals at the time of music exposure. This includes, but is not limited to, stages such as neonatal (birth to ~1 week), infantile (~1-2 weeks), juvenile (~2-4 weeks), peripubertal/adolescent (~4-8 weeks), young adult (~2-5 months), adult (~5-18 months), and old aged (&gt;18 months). If animals from multiple, distinct age categories were exposed together, code as Mixed. If not reported or unclear, code as Not reported or Unclear, respectively.</t>
  </si>
  <si>
    <t>Lifestage_exposure_notes</t>
  </si>
  <si>
    <t xml:space="preserve">Notes concerning the age classes at which the animals were exposed to music/control conditions. </t>
  </si>
  <si>
    <t>Lifestage_testing</t>
  </si>
  <si>
    <t>Age category at testing – Age category of the rodents at the time of behavioural testing. This includes, but is not limited to, stages such as neonatal (birth to ~1 week), infantile (~1-2 weeks), juvenile (~2-4 weeks), peripubertal/adolescent (~4-8 weeks), young adult (~2-5 months), adult (~5-18 months), and old aged (&gt;18 months). If animals from multiple, distinct age categories were tested together, code as Mixed Categories. If not reported or unclear, code as Not reported or Unclear, respectively.</t>
  </si>
  <si>
    <t>Lifestage_testing_notes</t>
  </si>
  <si>
    <t xml:space="preserve">Notes concerning the age classes at which the animals were tested. </t>
  </si>
  <si>
    <t>Experimental_design</t>
  </si>
  <si>
    <t>Categorization of the specific controlled experimental design employed in the study. Using the list of designs provided in Table 1 of Appendix 2, enter the full name of the design that most accurately describes the study.</t>
  </si>
  <si>
    <t>If a study's design is controlled but not explicitly listed in the table, enter "Other" and provide a specific description “Experimental_design_notes”</t>
  </si>
  <si>
    <t xml:space="preserve">If the design appears to be controlled but the authors do not provide enough detail to categorize it, code as "Unclear”. </t>
  </si>
  <si>
    <t>Experimental_design_notes</t>
  </si>
  <si>
    <t>Notes on the experimental design</t>
  </si>
  <si>
    <t xml:space="preserve">Combined_manipulation </t>
  </si>
  <si>
    <t>Indicates if the study included experimental manipulations in addition to music exposure. Coded: “No” if the only experimental difference between groups was music exposure. “Yes” if the study included another manipulation (e.g., social housing, diet) which was applied equally to both the music and control groups.</t>
  </si>
  <si>
    <t>Combined_manipulation_notes</t>
  </si>
  <si>
    <t>Notes on the extra manipulation</t>
  </si>
  <si>
    <t>Induced behaviour</t>
  </si>
  <si>
    <t xml:space="preserve">Classifies whether the experiment measured innate behaviours or behaviours induced by a determined procedure (e.g. Maternal Separation, Chronic Unpredictable Mild Stress). Coded as innate or induced. </t>
  </si>
  <si>
    <t>Inducing_procedure</t>
  </si>
  <si>
    <t>Common behaviour inducing procedures: Chronic Unpredictable Mild Stress, Maternal Separation, Social Defeat Stress, Learned Helplessness, other.</t>
  </si>
  <si>
    <t>Inducing_procedure_notes</t>
  </si>
  <si>
    <t>notes on the inducing procedure</t>
  </si>
  <si>
    <t>Lifestage_inducing_procedure</t>
  </si>
  <si>
    <t>Age category of the rodents at the time the inducing procedure was carried out. This includes, but is not limited to, stages such as neonatal (~birth to 1 week), infantile (~1-2 weeks), juvenile (~2-4 weeks), peripubertal/adolescent (~4-8 weeks), young adult (~2-5 months), adult (~5-18 months), and old aged (&gt;18 months).</t>
  </si>
  <si>
    <t>If animals from multiple, distinct age categories were used, code as “Mixed Categories”. If not reported or unclear, code as “Not reported” or “Unclear”, respectively.</t>
  </si>
  <si>
    <t>Lifestage_inducing_procedure_ notes</t>
  </si>
  <si>
    <t xml:space="preserve">Notes of the age class at which the inducing procedures were carried out. </t>
  </si>
  <si>
    <t>Inducing_procedure_duration</t>
  </si>
  <si>
    <t>How long did the inducing procedure lasted in days.</t>
  </si>
  <si>
    <t>Inducing_procedure_duration_notes</t>
  </si>
  <si>
    <t>Notes on the inducing procedure duration.</t>
  </si>
  <si>
    <t>Experimental_procedures</t>
  </si>
  <si>
    <t>Identifies if a sham control was used for a surgical or pharmacological intervention. Code as: “None”: No such intervention was performed. “Sham”: A placebo procedure was used as the control (e.g., saline injection, mock surgery).</t>
  </si>
  <si>
    <t>Experimental_procedures_notes</t>
  </si>
  <si>
    <t>Notes on the experimental procedures (e.g., type of procedure).</t>
  </si>
  <si>
    <t>Exposure specifications</t>
  </si>
  <si>
    <t>Relative_timing</t>
  </si>
  <si>
    <t>Tracks when the music exposure occurred in relation to when the outcome was measured. Code the exposure as “Before” if the music was administered and completed before the outcome measurement took place. Code as “Concurrent” if the music was administered at the same time as the outcome measurement. If the study design included both conditions, code as “Both”. If this timing relationship is not specified, code as “Not Specified”</t>
  </si>
  <si>
    <t>Timing_notes</t>
  </si>
  <si>
    <t>Notes related to the relative timing</t>
  </si>
  <si>
    <t>Test_sequence</t>
  </si>
  <si>
    <t>Tracks the trial sequence for repeated tests on a single cohort. Code sequential tests as “T1”, “T2”, etc., and a single reported measurement as “Single Trial If multiple trials were performed but only the final trial is reported, code it as “TF”. Note any selective reporting in the “Test_sequence_notes” field.</t>
  </si>
  <si>
    <t>Test_sequence_notes</t>
  </si>
  <si>
    <t>Notes related to the test sequence</t>
  </si>
  <si>
    <t>Exposure_duration</t>
  </si>
  <si>
    <t>How long were the animals exposed to music (hours per day)</t>
  </si>
  <si>
    <t>Exposure_notes</t>
  </si>
  <si>
    <t>Notes of the exposition duration</t>
  </si>
  <si>
    <t>Exposure_span</t>
  </si>
  <si>
    <t>For how many days were the rodents exposed to music</t>
  </si>
  <si>
    <t>Exposure_span_notes</t>
  </si>
  <si>
    <t>Notes of the exposition span</t>
  </si>
  <si>
    <t>Music_timing</t>
  </si>
  <si>
    <t>When the music was played: light (day), dark phase (night), both, or unclear.</t>
  </si>
  <si>
    <t>Music_type</t>
  </si>
  <si>
    <t>Music_notes</t>
  </si>
  <si>
    <t>Notes on the music type, like piece or author</t>
  </si>
  <si>
    <t>Loudness</t>
  </si>
  <si>
    <t>Loudness of the music in decibels</t>
  </si>
  <si>
    <t>Frequency</t>
  </si>
  <si>
    <t>Frequency of the speakers used, in hertz</t>
  </si>
  <si>
    <t>Control_conditions</t>
  </si>
  <si>
    <t>Conditions under which the control animals were kept during the music exposure phase: silence, ambient sound; white noise</t>
  </si>
  <si>
    <t>Control_loudness</t>
  </si>
  <si>
    <t>Loudness of the control conditions in decibels, if provided</t>
  </si>
  <si>
    <t>Control_notes</t>
  </si>
  <si>
    <t>Notes related to control conditions</t>
  </si>
  <si>
    <t>Control_frequency</t>
  </si>
  <si>
    <t>Outcome information</t>
  </si>
  <si>
    <t>Outcome_type</t>
  </si>
  <si>
    <t>This field categorizes the primary behavioural construct to standardize whether an assay measures anxiety, depression, or both. For any assay listed in Table 2, the outcome will be coded as either “Anxiety” or 'Depression” as specified in that table (e.g., the Elevated Plus Maze is coded as “Anxiety”). If an assay is not in Table 2, the classification explicitly provided by the study's authors will be used; in this case, the outcome can be coded as “Anxiety”, “Depression”, or “Both” based on their statement. If an assay is not in Table 2 and the authors do not provide a clear classification, the outcome will be coded as “Unclear”.</t>
  </si>
  <si>
    <t>Assay_type</t>
  </si>
  <si>
    <t>Type of assay used to measure anxiety or depression-like behaviours. Examples include Open Field Test, Tail Suspension Test, Elevated Plus Maze, Forced Swim Test, Sucrose Preference Test, Novelty Suppressed Feeding, Light-Dark Box.</t>
  </si>
  <si>
    <t>Assay_type_notes</t>
  </si>
  <si>
    <t xml:space="preserve">Notes on the assay </t>
  </si>
  <si>
    <t>Measurment_variable</t>
  </si>
  <si>
    <t>This field describes the specific behavioural phenomenon quantified in the assay. Examples include “Time in open arms,” “Sucrose preference”, “'Total distance travelled”, or “Immobility time”.</t>
  </si>
  <si>
    <t>Data_type</t>
  </si>
  <si>
    <t>Specifies the data type category of the measurement recorded. Examples include “Time,” “Percentage,” “Distance”, “Count”, or “Latency”.</t>
  </si>
  <si>
    <t>Data_units</t>
  </si>
  <si>
    <t>Specifies the specific unit for the measurement. For some data types like “Count”, this may not be applicable. Examples include “s” (seconds), “%” (percent), or “cm” (centimetres).</t>
  </si>
  <si>
    <t>Measurement_timing</t>
  </si>
  <si>
    <t>Specifies when the behavioural test took place. The value should be “Light Phase”, “Dark Phase”, or “Not Reported” if the information is not provided in the study.</t>
  </si>
  <si>
    <t>Data_source</t>
  </si>
  <si>
    <t>Location of extracted data – Indicate where the data (sample sizes, averages, measures of dispersion) were reported (e.g., main text, table, figure, or supplementary material). If the source is a table or figure, specify its number (e.g., Table 1, Figure 1).</t>
  </si>
  <si>
    <t>Data_file</t>
  </si>
  <si>
    <t>If the data (sample sizes, averages, measures of dispersion) was shown in a figure, the screenshot should be saved in the format: First author_Year_Fig_Number</t>
  </si>
  <si>
    <t>C_ID</t>
  </si>
  <si>
    <t>Label given to the relevant control group by the authors (e.g., label given in a plot).</t>
  </si>
  <si>
    <t xml:space="preserve">Label given to the relevant music exposed group by the authors (e.g., label given in a plot). </t>
  </si>
  <si>
    <t>Comparison</t>
  </si>
  <si>
    <r>
      <t>Focal contrast label – A unique label created by concatenating the comparison ID (</t>
    </r>
    <r>
      <rPr>
        <i/>
        <sz val="11"/>
        <color theme="1"/>
        <rFont val="Trebuchet MS"/>
        <family val="2"/>
      </rPr>
      <t>C_ID</t>
    </r>
    <r>
      <rPr>
        <sz val="11"/>
        <color theme="1"/>
        <rFont val="Trebuchet MS"/>
        <family val="2"/>
      </rPr>
      <t>) and the experiment ID (</t>
    </r>
    <r>
      <rPr>
        <i/>
        <sz val="11"/>
        <color theme="1"/>
        <rFont val="Trebuchet MS"/>
        <family val="2"/>
      </rPr>
      <t>EX_ID</t>
    </r>
    <r>
      <rPr>
        <sz val="11"/>
        <color theme="1"/>
        <rFont val="Trebuchet MS"/>
        <family val="2"/>
      </rPr>
      <t xml:space="preserve">). For example: </t>
    </r>
    <r>
      <rPr>
        <i/>
        <sz val="11"/>
        <color theme="1"/>
        <rFont val="Trebuchet MS"/>
        <family val="2"/>
      </rPr>
      <t>Control_Music</t>
    </r>
  </si>
  <si>
    <t>Higher_better</t>
  </si>
  <si>
    <r>
      <t>Direction of outcome measurement – Indicates whether a higher mean value reflects lower levels of anxiety/depression. Options: “</t>
    </r>
    <r>
      <rPr>
        <i/>
        <sz val="11"/>
        <color theme="1"/>
        <rFont val="Trebuchet MS"/>
        <family val="2"/>
      </rPr>
      <t>Yes”</t>
    </r>
    <r>
      <rPr>
        <sz val="11"/>
        <color theme="1"/>
        <rFont val="Trebuchet MS"/>
        <family val="2"/>
      </rPr>
      <t xml:space="preserve"> – Higher mean = less anxiety/depression; “</t>
    </r>
    <r>
      <rPr>
        <i/>
        <sz val="11"/>
        <color theme="1"/>
        <rFont val="Trebuchet MS"/>
        <family val="2"/>
      </rPr>
      <t>No”</t>
    </r>
    <r>
      <rPr>
        <sz val="11"/>
        <color theme="1"/>
        <rFont val="Trebuchet MS"/>
        <family val="2"/>
      </rPr>
      <t xml:space="preserve"> – Higher mean = more anxiety/depression</t>
    </r>
  </si>
  <si>
    <t>Higher_better_notes</t>
  </si>
  <si>
    <t>Notes on the direction of outcome measurement</t>
  </si>
  <si>
    <t>C_n</t>
  </si>
  <si>
    <t>Sample size of control group (number of animals)</t>
  </si>
  <si>
    <t>Ex_n</t>
  </si>
  <si>
    <t>Sample size of experimental group (number of animals)</t>
  </si>
  <si>
    <t>C_mean</t>
  </si>
  <si>
    <t>Average of control group measure</t>
  </si>
  <si>
    <t>C_SE</t>
  </si>
  <si>
    <t>Standard error of the control group outcome measure</t>
  </si>
  <si>
    <t>C_SD</t>
  </si>
  <si>
    <t>Standard deviation of the control group outcome measure</t>
  </si>
  <si>
    <t>C_CI</t>
  </si>
  <si>
    <t>Confidence intervals of the control group outcome measure; if reported they will be transformed to SE and noted in the Stat_comment column</t>
  </si>
  <si>
    <t>Ex_mean</t>
  </si>
  <si>
    <t>Average of experimental group outcome measure</t>
  </si>
  <si>
    <t>Ex_SE</t>
  </si>
  <si>
    <t>Standard error of the experimental group outcome measure</t>
  </si>
  <si>
    <t>Ex_SD</t>
  </si>
  <si>
    <t>Standard deviation of the experimental group outcome measure</t>
  </si>
  <si>
    <t>Ex_CI</t>
  </si>
  <si>
    <t>Confidence intervals of the experimental group outcome measure; if reported they will be transformed to SE and noted in the Stat_comment column</t>
  </si>
  <si>
    <t>Stat_comment</t>
  </si>
  <si>
    <t>Notes regarding descriptive statistics for the outcome measure</t>
  </si>
  <si>
    <t>Risk of Bias</t>
  </si>
  <si>
    <t>ROB_guideline</t>
  </si>
  <si>
    <r>
      <t>Stated use of risk of bias (ROB) guideline – Indicates whether the authors explicitly reported using a risk of bias assessment guideline. Options: “Yes”, “</t>
    </r>
    <r>
      <rPr>
        <i/>
        <sz val="11"/>
        <color theme="1"/>
        <rFont val="Trebuchet MS"/>
        <family val="2"/>
      </rPr>
      <t xml:space="preserve">No” </t>
    </r>
    <r>
      <rPr>
        <sz val="11"/>
        <color theme="1"/>
        <rFont val="Trebuchet MS"/>
        <family val="2"/>
      </rPr>
      <t xml:space="preserve">(If no guideline is mentioned, it is assumed that none was used). </t>
    </r>
  </si>
  <si>
    <t>ROB_guideline_name</t>
  </si>
  <si>
    <t>Name of the ROB guideline used, if provided</t>
  </si>
  <si>
    <t>ROB_blinding</t>
  </si>
  <si>
    <r>
      <t>Author blinding to treatment – Indicates whether the authors reported being blinded to the treatment during the behavioural trial. Options: “Yes”, “</t>
    </r>
    <r>
      <rPr>
        <i/>
        <sz val="11"/>
        <color theme="1"/>
        <rFont val="Trebuchet MS"/>
        <family val="2"/>
      </rPr>
      <t>No”</t>
    </r>
    <r>
      <rPr>
        <sz val="11"/>
        <color theme="1"/>
        <rFont val="Trebuchet MS"/>
        <family val="2"/>
      </rPr>
      <t xml:space="preserve"> (If not reported, it is assumed the authors were not blinded)</t>
    </r>
  </si>
  <si>
    <t xml:space="preserve">ROB_randomization </t>
  </si>
  <si>
    <r>
      <t>Random assignment of animals to treatment – Indicates whether the animals were randomly assigned to treatment groups. Options: “Yes”, “</t>
    </r>
    <r>
      <rPr>
        <i/>
        <sz val="11"/>
        <color theme="1"/>
        <rFont val="Trebuchet MS"/>
        <family val="2"/>
      </rPr>
      <t>No”, “not reported”.</t>
    </r>
    <r>
      <rPr>
        <sz val="11"/>
        <color theme="1"/>
        <rFont val="Trebuchet MS"/>
        <family val="2"/>
      </rPr>
      <t xml:space="preserve"> </t>
    </r>
  </si>
  <si>
    <t>ROB_rand_method</t>
  </si>
  <si>
    <t>Method used for random assignment (e.g., random number generator, coin toss, computerized randomization, not reported)</t>
  </si>
  <si>
    <t>ROB_attrition</t>
  </si>
  <si>
    <t>Were all animals included in the analysis, or were there any exclusions? Options: “Yes”, “No” (if not reported, it is assumed that there was no attrition)</t>
  </si>
  <si>
    <t>ROB_attrition_notes</t>
  </si>
  <si>
    <t>Notes regarding the attrition bias</t>
  </si>
  <si>
    <t>ROB_selective_reporting</t>
  </si>
  <si>
    <t>Were any outcomes measured but not reported in the results? Code as: “Yes”: The study mentions measuring an outcome that is not present in the results. “No”: All outcomes mentioned in the methods are reported in the results. “Unclear”: It is not possible to determine if all measured outcomes were reported.</t>
  </si>
  <si>
    <t>ROB_selective_reporting_notes</t>
  </si>
  <si>
    <t>Notes regarding selective reporting</t>
  </si>
  <si>
    <t>Indian classical Mohana Raga (instrumental music) overcomes anxiety, depression and memory impairment in chronic unpredictable mild stress rat model– A behavioural study</t>
  </si>
  <si>
    <t>10.56042/ijtk.v24i4.12620</t>
  </si>
  <si>
    <t>Indian Journal of Traditional Knowledge</t>
  </si>
  <si>
    <t>Krishnamurthy_2025_INDIANJTRADITKNOW</t>
  </si>
  <si>
    <t>ex001</t>
  </si>
  <si>
    <t>out001</t>
  </si>
  <si>
    <t>Rat</t>
  </si>
  <si>
    <t>Rattus norvegicus</t>
  </si>
  <si>
    <t>Male</t>
  </si>
  <si>
    <t>Mus musculus</t>
  </si>
  <si>
    <t>Mouse</t>
  </si>
  <si>
    <t>Lifestage</t>
  </si>
  <si>
    <t>Neonatal</t>
  </si>
  <si>
    <t>Infantile</t>
  </si>
  <si>
    <t>Juvenile</t>
  </si>
  <si>
    <t>Adolescent</t>
  </si>
  <si>
    <t>Young adult</t>
  </si>
  <si>
    <t>Adult</t>
  </si>
  <si>
    <t>Old age</t>
  </si>
  <si>
    <t>Mixed</t>
  </si>
  <si>
    <t>Not reported</t>
  </si>
  <si>
    <t>Unclear</t>
  </si>
  <si>
    <t>Female</t>
  </si>
  <si>
    <t>Posttest-Only Control Group</t>
  </si>
  <si>
    <t>Characterized by the random assignment of subjects to either an intervention or a control condition, with the dependent variable measured only after the experimental manipulation has occurred.</t>
  </si>
  <si>
    <t>Pretest-Posttest Control Group</t>
  </si>
  <si>
    <t>Involves the random assignment of subjects to an intervention or a control condition, with measurements of the dependent variable taken at both baseline (pretest) and follow-up (posttest).</t>
  </si>
  <si>
    <t>Solomon Four-Group</t>
  </si>
  <si>
    <t>A comprehensive design integrating the pretest-posttest and posttest-only designs. Subjects are randomly allocated to one of four groups to permit the systematic assessment of the intervention's effect, the pretest's effect, and their interaction.</t>
  </si>
  <si>
    <t>Matched-Pairs</t>
  </si>
  <si>
    <t>A design wherein subjects are first matched into pairs based on a relevant covariate. Within each pair, subjects are then randomly assigned to either the intervention or the control condition, thereby balancing the groups on the matched variable.</t>
  </si>
  <si>
    <t>Randomized Block</t>
  </si>
  <si>
    <t>An experimental structure used to control for a known source of variability by partitioning subjects into homogenous "blocks." Within each block, subjects are then randomly assigned to the experimental conditions.</t>
  </si>
  <si>
    <t>Factorial</t>
  </si>
  <si>
    <t>An experimental setup involving two or more independent variables (factors). This design permits the investigation of the main effect of each factor as well as any interaction effects between them.</t>
  </si>
  <si>
    <t>Nested</t>
  </si>
  <si>
    <t>An experimental structure where distinct levels of one factor are nested within the levels of another. This design is used to analyse variance from hierarchical sources (e.g., individual subjects nested within different experimental sites).</t>
  </si>
  <si>
    <t>Repeated Measures</t>
  </si>
  <si>
    <t>A design in which a single cohort of subjects is exposed to all experimental conditions, including a control condition. Each subject serves as its own control, which can increase statistical power by reducing inter-subject variability.</t>
  </si>
  <si>
    <t>Crossover</t>
  </si>
  <si>
    <t>A type of within-subjects design where subjects are randomly assigned to different sequences of treatments. This method controls for potential order effects by ensuring all possible treatment sequences are administered.</t>
  </si>
  <si>
    <t>Latin Square</t>
  </si>
  <si>
    <t>A specific method for counterbalancing conditions in a within-subjects experiment to control for order and sequence effects. It ensures that each condition appears in each ordinal position an equal number of times across subjects.</t>
  </si>
  <si>
    <t>ABA (Reversal)</t>
  </si>
  <si>
    <t>A design that demonstrates a functional relationship by sequentially measuring a dependent variable across a baseline phase (A), an intervention phase (B), and a return-to-baseline withdrawal phase (A).</t>
  </si>
  <si>
    <t>Multiple-Baseline</t>
  </si>
  <si>
    <t>This design demonstrates a causal effect by applying an intervention in a staggered fashion across several independent baselines (e.g., different subjects, behaviours, or settings). A functional relationship is confirmed when the target behaviour changes only after the intervention is specifically introduced to each baseline, while the others remain stable.</t>
  </si>
  <si>
    <t>Alternating Treatments</t>
  </si>
  <si>
    <t>This design is used to compare the effectiveness of two or more different interventions. It involves rapidly and randomly switching between these conditions (e.g., Treatment A vs. Treatment B) to determine which one is associated with a more significant change in the target behaviour.</t>
  </si>
  <si>
    <t>Changing Criterion</t>
  </si>
  <si>
    <t>This design establishes an intervention's effectiveness by showing that a behaviour can match a performance goal (or criterion) that is adjusted in a stepwise fashion over time. A causal link is demonstrated if the subject's behaviour consistently and systematically adjusts to meet each new criterion set by the researcher.</t>
  </si>
  <si>
    <t>Design</t>
  </si>
  <si>
    <t>Description</t>
  </si>
  <si>
    <t>Assay name</t>
  </si>
  <si>
    <t xml:space="preserve">Mechanism </t>
  </si>
  <si>
    <t>Target behaviour</t>
  </si>
  <si>
    <t>Chronic Unpredictable Mild Stress</t>
  </si>
  <si>
    <t>Repeated, unpredictable mild stressors over time</t>
  </si>
  <si>
    <t>Depression (anhedonia, despair); Anxiety</t>
  </si>
  <si>
    <t>Maternal Separation</t>
  </si>
  <si>
    <t>Early-life separation from dam</t>
  </si>
  <si>
    <t>Anxiety (in adulthood); Depression (in adulthood)</t>
  </si>
  <si>
    <t>Social Defeat Stress</t>
  </si>
  <si>
    <t>Repeated exposure to aggressive conspecific</t>
  </si>
  <si>
    <t>Depression (social avoidance, anhedonia); Anxiety</t>
  </si>
  <si>
    <t>Learned Helplessness</t>
  </si>
  <si>
    <t>Repeated exposure to inescapable aversive stimuli</t>
  </si>
  <si>
    <t>Depression (passivity, lack of control)</t>
  </si>
  <si>
    <t>Elevated Plus Maze</t>
  </si>
  <si>
    <t>Anxiety-like behaviour</t>
  </si>
  <si>
    <t>Exploits innate aversion to open spaces and heights; approach-avoidance conflict</t>
  </si>
  <si>
    <t>Time in open arms (%), entries into open arms (%), rearing, head dips, stretched-attend postures</t>
  </si>
  <si>
    <t>Open Field Test</t>
  </si>
  <si>
    <t>Locomotor activity, exploration, anxiety-like behaviour</t>
  </si>
  <si>
    <t>Exploits natural aversion to brightly lit open spaces and exploratory drive</t>
  </si>
  <si>
    <t>Total distance travelled, line crossings, time/entries in centre area, rearing, stretch attend postures</t>
  </si>
  <si>
    <t>Light-Dark Box</t>
  </si>
  <si>
    <t>Exploits natural aversion to brightly lit areas (scototaxis) and exploratory drive; approach-avoidance conflict</t>
  </si>
  <si>
    <t>Time in bright chamber (%), distance travelled, number of transitions, latency to enter light chamber</t>
  </si>
  <si>
    <t>Novelty Suppressed Feeding (NSF)</t>
  </si>
  <si>
    <t>Anxiety-related behaviour, antidepressant efficacy</t>
  </si>
  <si>
    <t>Conflict between hunger drive and innate avoidance of novel, anxiogenic environment</t>
  </si>
  <si>
    <t>Latency to eat in novel environment; home cage feeding, % weight lost</t>
  </si>
  <si>
    <t>Primary behaviour(s) assessed</t>
  </si>
  <si>
    <t>Underlying principle/concept</t>
  </si>
  <si>
    <t>Key measured parameters</t>
  </si>
  <si>
    <t>Sucrose Preference Test (SPT)</t>
  </si>
  <si>
    <t>Anhedonia, motivation, depression-like emotional states</t>
  </si>
  <si>
    <t>Measures loss of pleasure via reduced preference for palatable sweet solutions</t>
  </si>
  <si>
    <t>Sucrose preference rate (sucrose consumption / total liquid intake) (%); total drinking times</t>
  </si>
  <si>
    <t>Forced Swim Test (FST)</t>
  </si>
  <si>
    <t>Behavioural despair, antidepressant efficacy</t>
  </si>
  <si>
    <t>Measures immobility when escape is impossible, interpreted as “giving up”</t>
  </si>
  <si>
    <t>Immobility time (s) (or mobility time)</t>
  </si>
  <si>
    <t>Tail Suspension Test (TST)</t>
  </si>
  <si>
    <t>Measures immobility when suspended by tail in inescapable situation</t>
  </si>
  <si>
    <t>Yes</t>
  </si>
  <si>
    <t>No</t>
  </si>
  <si>
    <t>Innate</t>
  </si>
  <si>
    <t>Induced</t>
  </si>
  <si>
    <t>Induced_behaviour</t>
  </si>
  <si>
    <t>Exp_procedures</t>
  </si>
  <si>
    <t>None</t>
  </si>
  <si>
    <t>Sham</t>
  </si>
  <si>
    <t>Before</t>
  </si>
  <si>
    <t>Concurrent</t>
  </si>
  <si>
    <t>Both</t>
  </si>
  <si>
    <t>Not specified</t>
  </si>
  <si>
    <t>both</t>
  </si>
  <si>
    <t>unclear</t>
  </si>
  <si>
    <t>light phase</t>
  </si>
  <si>
    <t>dark phase</t>
  </si>
  <si>
    <t>classical</t>
  </si>
  <si>
    <t>new age</t>
  </si>
  <si>
    <t>mixed</t>
  </si>
  <si>
    <t>silence</t>
  </si>
  <si>
    <t>ambiet sound</t>
  </si>
  <si>
    <t>white noise</t>
  </si>
  <si>
    <t>Anxiety</t>
  </si>
  <si>
    <t>Depression</t>
  </si>
  <si>
    <t>time</t>
  </si>
  <si>
    <t>percentage</t>
  </si>
  <si>
    <t>distance</t>
  </si>
  <si>
    <t>count</t>
  </si>
  <si>
    <t>latency</t>
  </si>
  <si>
    <t>Data units</t>
  </si>
  <si>
    <t>s</t>
  </si>
  <si>
    <t>%</t>
  </si>
  <si>
    <t>cm</t>
  </si>
  <si>
    <t>N/A</t>
  </si>
  <si>
    <t>MISC_1</t>
  </si>
  <si>
    <t>MISC_2</t>
  </si>
  <si>
    <t>MISC_3</t>
  </si>
  <si>
    <t>Not clear</t>
  </si>
  <si>
    <t>Random</t>
  </si>
  <si>
    <t>random number generator</t>
  </si>
  <si>
    <t>coin toss</t>
  </si>
  <si>
    <t>computerized randomization</t>
  </si>
  <si>
    <t>not reported</t>
  </si>
  <si>
    <t>28 days</t>
  </si>
  <si>
    <t>T1</t>
  </si>
  <si>
    <t>Indian classical music Mohana Raga</t>
  </si>
  <si>
    <t>65-75</t>
  </si>
  <si>
    <t>Open arm entries</t>
  </si>
  <si>
    <t>Figure 2</t>
  </si>
  <si>
    <t>Krishnamurthy_2025_fig_2a</t>
  </si>
  <si>
    <t>CUMS</t>
  </si>
  <si>
    <t>CUMS+MUSIC</t>
  </si>
  <si>
    <t>CUMS_</t>
  </si>
  <si>
    <t>stressed animals in the EPM test had less open arm entries</t>
  </si>
  <si>
    <t>Closed arm entries</t>
  </si>
  <si>
    <t>Figure 3</t>
  </si>
  <si>
    <t>Krishnamurthy_2025_fig_2b</t>
  </si>
  <si>
    <t>reversal of anxiety behaviours…less time in closed arms</t>
  </si>
  <si>
    <t>es001</t>
  </si>
  <si>
    <t>es002</t>
  </si>
  <si>
    <t>es003</t>
  </si>
  <si>
    <t>es004</t>
  </si>
  <si>
    <t>es005</t>
  </si>
  <si>
    <t>es006</t>
  </si>
  <si>
    <t>out002</t>
  </si>
  <si>
    <t>out003</t>
  </si>
  <si>
    <t>out004</t>
  </si>
  <si>
    <t>out005</t>
  </si>
  <si>
    <t>out006</t>
  </si>
  <si>
    <t>Time in open arms</t>
  </si>
  <si>
    <t>Time in closed arms</t>
  </si>
  <si>
    <t>Rearings</t>
  </si>
  <si>
    <t>Krishnamurthy_2025_fig_2c</t>
  </si>
  <si>
    <t>Krishnamurthy_2025_fig_2d</t>
  </si>
  <si>
    <t>Krishnamurthy_2025_fig_2e</t>
  </si>
  <si>
    <t>Krishnamurthy_2025_fig_2f</t>
  </si>
  <si>
    <t>The number of head-dips and rearing in stressed animals were lesser</t>
  </si>
  <si>
    <t>ex002</t>
  </si>
  <si>
    <t>Single trial</t>
  </si>
  <si>
    <t>day 1</t>
  </si>
  <si>
    <t>Krishnamurthy_2025_fig_3a</t>
  </si>
  <si>
    <t>T2</t>
  </si>
  <si>
    <t>day 2</t>
  </si>
  <si>
    <t>Krishnamurthy_2025_fig_3b</t>
  </si>
  <si>
    <t>Krishnamurthy_2025_fig_3c</t>
  </si>
  <si>
    <t>T3</t>
  </si>
  <si>
    <t>day 3</t>
  </si>
  <si>
    <t>Figure 4</t>
  </si>
  <si>
    <t>Krishnamurthy_2025_fig_4</t>
  </si>
  <si>
    <t>es007</t>
  </si>
  <si>
    <t>es008</t>
  </si>
  <si>
    <t>es009</t>
  </si>
  <si>
    <t>es010</t>
  </si>
  <si>
    <t>Classical Music and Environmental Enrichment Enhanced Spatial Memory and Learning and Increased Mouse Innate Tendency to Avoid Open Spaces</t>
  </si>
  <si>
    <t>10.31080/ecne.2021.13.00837</t>
  </si>
  <si>
    <t>EC Neurology</t>
  </si>
  <si>
    <t>Freitas_2020_ECNE</t>
  </si>
  <si>
    <t>BALB/c</t>
  </si>
  <si>
    <t>Juvenile to young adult</t>
  </si>
  <si>
    <t>10 min silent invertval every 30 min of music</t>
  </si>
  <si>
    <t>3 times a week during 3 months</t>
  </si>
  <si>
    <t>Western classicals</t>
  </si>
  <si>
    <t>m</t>
  </si>
  <si>
    <t>Figure 1</t>
  </si>
  <si>
    <t>IENM_</t>
  </si>
  <si>
    <t>IECM</t>
  </si>
  <si>
    <t>Crossed lines</t>
  </si>
  <si>
    <t>Periphery vs Center</t>
  </si>
  <si>
    <t>Higher values = more time in periphey; ..EE-CM animals occupied the center of the apparatus longer than IE-CM animals</t>
  </si>
  <si>
    <t>Environmental enrichment</t>
  </si>
  <si>
    <t>EENM_</t>
  </si>
  <si>
    <t>EECM</t>
  </si>
  <si>
    <t>es011</t>
  </si>
  <si>
    <t>es012</t>
  </si>
  <si>
    <t>es013</t>
  </si>
  <si>
    <t>es014</t>
  </si>
  <si>
    <t>es015</t>
  </si>
  <si>
    <t>es016</t>
  </si>
  <si>
    <t>es017</t>
  </si>
  <si>
    <t>es018</t>
  </si>
  <si>
    <t>Closed vs Open arms</t>
  </si>
  <si>
    <t>Preference index</t>
  </si>
  <si>
    <t>index</t>
  </si>
  <si>
    <t>Negative = less anxiety (open arms)</t>
  </si>
  <si>
    <t>Freitas_2020_fig_1A</t>
  </si>
  <si>
    <t>Freitas_2020_fig_1B</t>
  </si>
  <si>
    <t>Freitas_2020_fig_1C</t>
  </si>
  <si>
    <t>Freitas_2020_fig_1D</t>
  </si>
  <si>
    <t>Freitas_2020_fig_2A</t>
  </si>
  <si>
    <t>Freitas_2020_fig_2C</t>
  </si>
  <si>
    <t>Freitas_2020_fig_2D</t>
  </si>
  <si>
    <t>Time in center</t>
  </si>
  <si>
    <t>es019</t>
  </si>
  <si>
    <t>es020</t>
  </si>
  <si>
    <t>es021</t>
  </si>
  <si>
    <t>es023</t>
  </si>
  <si>
    <t>es024</t>
  </si>
  <si>
    <t>Music Alleviates Learning and Memory Impairments in an Animal Model of Post-Traumatic Stress Disorder</t>
  </si>
  <si>
    <t>10.33263/BRIAC111.77757784</t>
  </si>
  <si>
    <t>Biointerface Research in Applied Chemistry</t>
  </si>
  <si>
    <t>Saghari_2021_BIOINTERFACE</t>
  </si>
  <si>
    <t>Single Prolong Stress</t>
  </si>
  <si>
    <t>PTSD</t>
  </si>
  <si>
    <t>3 stage procedure: restraintment, forced swim, loss of consciousness</t>
  </si>
  <si>
    <t>0700h to 1700h</t>
  </si>
  <si>
    <t>Western classical: Mozart k.448</t>
  </si>
  <si>
    <t>Saghari_2021_fig_1A</t>
  </si>
  <si>
    <t>control_</t>
  </si>
  <si>
    <t>music</t>
  </si>
  <si>
    <t>Time in inner zone</t>
  </si>
  <si>
    <t>Saghari_2021_fig_1B</t>
  </si>
  <si>
    <t>Saghari_2021_fig_1C</t>
  </si>
  <si>
    <t>Saghari_2021_fig_1D</t>
  </si>
  <si>
    <t>Rearing</t>
  </si>
  <si>
    <t>Grooming</t>
  </si>
  <si>
    <t>ptsd_</t>
  </si>
  <si>
    <t>ptsd.music</t>
  </si>
  <si>
    <t>es025</t>
  </si>
  <si>
    <t>es026</t>
  </si>
  <si>
    <t>es027</t>
  </si>
  <si>
    <t>es028</t>
  </si>
  <si>
    <t>es029</t>
  </si>
  <si>
    <t>es030</t>
  </si>
  <si>
    <t>es031</t>
  </si>
  <si>
    <t>es032</t>
  </si>
  <si>
    <t>50-60</t>
  </si>
  <si>
    <t>300-10000</t>
  </si>
  <si>
    <t>Motion</t>
  </si>
  <si>
    <t>Role of noise and music as anxiety modulators: Relationship with ovarian hormones in the rat</t>
  </si>
  <si>
    <t>10.1016/j.applanim.2013.12.006</t>
  </si>
  <si>
    <t>Applied Animal Behaviour Science</t>
  </si>
  <si>
    <t>Escribano_2014_APPANBSC</t>
  </si>
  <si>
    <t>3 months old</t>
  </si>
  <si>
    <t>30 to 45 min</t>
  </si>
  <si>
    <t>Western classical: Mozartt K.448</t>
  </si>
  <si>
    <t>Escribano_2014_fig_1a</t>
  </si>
  <si>
    <t>SILENCE_</t>
  </si>
  <si>
    <t>MUSIC</t>
  </si>
  <si>
    <t>Increased time spent in the open arms and a major number of entries have shown themselves to be an index of lowered anxiety behaviour</t>
  </si>
  <si>
    <t>WHITE.NOISE_</t>
  </si>
  <si>
    <t>Escribano_2014_fig_1b</t>
  </si>
  <si>
    <t>A greater amount of time spent in the light side of the chamber and a shorter latency have been shown to be an index of lowered anxiety behaviour</t>
  </si>
  <si>
    <t>Escribano_2014_fig_1c</t>
  </si>
  <si>
    <t>Latency</t>
  </si>
  <si>
    <t>Time in light side</t>
  </si>
  <si>
    <t>Escribano_2014_fig_1d</t>
  </si>
  <si>
    <t>ex003</t>
  </si>
  <si>
    <t>ex004</t>
  </si>
  <si>
    <t>Ovariectomized</t>
  </si>
  <si>
    <t>3.5 months old</t>
  </si>
  <si>
    <t>Escribano_2014_fig_2a</t>
  </si>
  <si>
    <t>Escribano_2014_fig_2b</t>
  </si>
  <si>
    <t>Escribano_2014_fig_2c</t>
  </si>
  <si>
    <t>Escribano_2014_fig_2d</t>
  </si>
  <si>
    <t>ex007</t>
  </si>
  <si>
    <t>ex008</t>
  </si>
  <si>
    <t>DMSO Dimethylsulphoxide</t>
  </si>
  <si>
    <t>Escribano_2014_fig_4a</t>
  </si>
  <si>
    <t>Escribano_2014_fig_4b</t>
  </si>
  <si>
    <t>Escribano_2014_fig_4c</t>
  </si>
  <si>
    <t>Escribano_2014_fig_4d</t>
  </si>
  <si>
    <t>Music exposure attenuates anxiety- and depression-like behaviors and increases hippocampal spine density in male rats</t>
  </si>
  <si>
    <t>10.1016/j.bbr.2019.112023</t>
  </si>
  <si>
    <t>Papadakakis_2019_BBR</t>
  </si>
  <si>
    <t>PND 21 to 76</t>
  </si>
  <si>
    <t>PND 84</t>
  </si>
  <si>
    <t>Maternal separation</t>
  </si>
  <si>
    <t>Western classical: Mozartt K.449</t>
  </si>
  <si>
    <t>Papadakakis_2019_fig_3a</t>
  </si>
  <si>
    <t>Mozart</t>
  </si>
  <si>
    <t>Papadakakis_2019_fig_3b</t>
  </si>
  <si>
    <t>neonatal+infantile</t>
  </si>
  <si>
    <t>CGambient.noise_</t>
  </si>
  <si>
    <t>MSambient.noise_</t>
  </si>
  <si>
    <t>Stretch attend postures</t>
  </si>
  <si>
    <t>Protected stretch attend postures</t>
  </si>
  <si>
    <t>Head dips</t>
  </si>
  <si>
    <t>Papadakakis_2019_fig_4a</t>
  </si>
  <si>
    <t>Papadakakis_2019_fig_4b</t>
  </si>
  <si>
    <t>Papadakakis_2019_fig_4c</t>
  </si>
  <si>
    <t>...less head dips…increased anxiety</t>
  </si>
  <si>
    <t>...less SAP...increased anxiety</t>
  </si>
  <si>
    <t>PDN 88</t>
  </si>
  <si>
    <t>PND 21 to 77</t>
  </si>
  <si>
    <t>out007</t>
  </si>
  <si>
    <t>out008</t>
  </si>
  <si>
    <t>out009</t>
  </si>
  <si>
    <t>pre-test 24h before</t>
  </si>
  <si>
    <t>Total activity</t>
  </si>
  <si>
    <t>Climbing</t>
  </si>
  <si>
    <t>Swimming</t>
  </si>
  <si>
    <t>Figure 5</t>
  </si>
  <si>
    <t>Papadakakis_2019_fig_5a</t>
  </si>
  <si>
    <t>Papadakakis_2019_fig_5b</t>
  </si>
  <si>
    <t>Papadakakis_2019_fig_5c</t>
  </si>
  <si>
    <t>Papadakakis_2019_fig_5d</t>
  </si>
  <si>
    <t>...more time immobile….increased depressive behaviors</t>
  </si>
  <si>
    <t>...less time climbing and swimming…more depressed</t>
  </si>
  <si>
    <t>Music prevents stress-induced depression and anxiety-like behavior in mice</t>
  </si>
  <si>
    <t>10.1038/s41398-023-02606-z</t>
  </si>
  <si>
    <t>Translational Psychiatry</t>
  </si>
  <si>
    <t>Fu_2023_TRANSPSY</t>
  </si>
  <si>
    <t>C57BL/6</t>
  </si>
  <si>
    <t>&gt;8weeks</t>
  </si>
  <si>
    <t>Baroque, classsical (eastern/western), romantic (?)</t>
  </si>
  <si>
    <t>86-22006</t>
  </si>
  <si>
    <t>86-22007</t>
  </si>
  <si>
    <t>86-22008</t>
  </si>
  <si>
    <t>86-22009</t>
  </si>
  <si>
    <t>mm</t>
  </si>
  <si>
    <t>Missing: number of times the mice crossed the center</t>
  </si>
  <si>
    <t>86-22010</t>
  </si>
  <si>
    <t>86-22011</t>
  </si>
  <si>
    <t>86-22012</t>
  </si>
  <si>
    <t>86-22013</t>
  </si>
  <si>
    <t>86-22014</t>
  </si>
  <si>
    <t>86-22015</t>
  </si>
  <si>
    <t>86-22016</t>
  </si>
  <si>
    <t>86-22017</t>
  </si>
  <si>
    <t>Consumption</t>
  </si>
  <si>
    <t>Missing: The number of entries into closed arms and the
time spent in each arm</t>
  </si>
  <si>
    <t>Effect of music therapy on the developing central nervous system of rats</t>
  </si>
  <si>
    <t>10.1037/pne0000087</t>
  </si>
  <si>
    <t>Psychology &amp; Neuroscience</t>
  </si>
  <si>
    <t>Sampaio_2017_PSYNEURO</t>
  </si>
  <si>
    <t>1 month</t>
  </si>
  <si>
    <t>2 months</t>
  </si>
  <si>
    <t xml:space="preserve">3 months </t>
  </si>
  <si>
    <t>4 months</t>
  </si>
  <si>
    <t>T4</t>
  </si>
  <si>
    <t>Mozart k.448</t>
  </si>
  <si>
    <t>Sampaio_2017_fig_1_male</t>
  </si>
  <si>
    <t>Sampaio_2017_fig_1_female</t>
  </si>
  <si>
    <t>music.therapy</t>
  </si>
  <si>
    <t>out010</t>
  </si>
  <si>
    <t>out011</t>
  </si>
  <si>
    <t>out012</t>
  </si>
  <si>
    <t>out013</t>
  </si>
  <si>
    <t>out014</t>
  </si>
  <si>
    <t>out015</t>
  </si>
  <si>
    <t>out016</t>
  </si>
  <si>
    <t>Sampaio_2017_fig_2a_male</t>
  </si>
  <si>
    <t>Sampaio_2017_fig_2a_female</t>
  </si>
  <si>
    <t>Sampaio_2017_fig_2b_male</t>
  </si>
  <si>
    <t>Sampaio_2017_fig_2b_female</t>
  </si>
  <si>
    <t>Sampaio_2017_fig_2c_male</t>
  </si>
  <si>
    <t>Sampaio_2017_fig_2c_female</t>
  </si>
  <si>
    <t>out017</t>
  </si>
  <si>
    <t>out018</t>
  </si>
  <si>
    <t>out019</t>
  </si>
  <si>
    <t>out020</t>
  </si>
  <si>
    <t xml:space="preserve">Immobility </t>
  </si>
  <si>
    <t>Immobility</t>
  </si>
  <si>
    <t>Sampaio_2017_fig_3_male</t>
  </si>
  <si>
    <t>Sampaio_2017_fig_3_female</t>
  </si>
  <si>
    <t>Music therapy as a preventive intervention for postpartum depression: modulation of synaptic plasticity, oxidative stress, and inflammation in a mouse model</t>
  </si>
  <si>
    <t>10.1038/s41398-025-03370-y</t>
  </si>
  <si>
    <t>Fu_2025_TRANSPSY</t>
  </si>
  <si>
    <t>13 weeks</t>
  </si>
  <si>
    <t>3.8 months</t>
  </si>
  <si>
    <t>surgery</t>
  </si>
  <si>
    <t>23 +  day of behavioural assay</t>
  </si>
  <si>
    <t>Fu_2025_fig_1B</t>
  </si>
  <si>
    <t>Fu_2023_fig_1B</t>
  </si>
  <si>
    <t>Fu_2023_fig_1B_2</t>
  </si>
  <si>
    <t>Fu_2025_fig_1B_2</t>
  </si>
  <si>
    <t>SHAM_</t>
  </si>
  <si>
    <t>SHAM+MUSIC</t>
  </si>
  <si>
    <t>Missing: frequency of entries into the center</t>
  </si>
  <si>
    <t>14 weeks</t>
  </si>
  <si>
    <t>Fu_2025_fig_1C</t>
  </si>
  <si>
    <t>Fu_2025_fig_1D</t>
  </si>
  <si>
    <t>Missing: time in closed arm</t>
  </si>
  <si>
    <t>Fu_2025_fig_1F</t>
  </si>
  <si>
    <t>Fu_2025_fig_1G</t>
  </si>
  <si>
    <t>The power of classic music to reduce anxiety in rats treated with simvastatin</t>
  </si>
  <si>
    <t>es033</t>
  </si>
  <si>
    <t>es034</t>
  </si>
  <si>
    <t>es035</t>
  </si>
  <si>
    <t>es036</t>
  </si>
  <si>
    <t>es037</t>
  </si>
  <si>
    <t>es038</t>
  </si>
  <si>
    <t>es039</t>
  </si>
  <si>
    <t>es040</t>
  </si>
  <si>
    <t>es041</t>
  </si>
  <si>
    <t>es042</t>
  </si>
  <si>
    <t>es043</t>
  </si>
  <si>
    <t>es044</t>
  </si>
  <si>
    <t>es045</t>
  </si>
  <si>
    <t>es046</t>
  </si>
  <si>
    <t>es047</t>
  </si>
  <si>
    <t>es048</t>
  </si>
  <si>
    <t>es049</t>
  </si>
  <si>
    <t>es050</t>
  </si>
  <si>
    <t>es051</t>
  </si>
  <si>
    <t>es052</t>
  </si>
  <si>
    <t>es053</t>
  </si>
  <si>
    <t>es054</t>
  </si>
  <si>
    <t>es055</t>
  </si>
  <si>
    <t>es056</t>
  </si>
  <si>
    <t>es057</t>
  </si>
  <si>
    <t>es058</t>
  </si>
  <si>
    <t>es059</t>
  </si>
  <si>
    <t>es060</t>
  </si>
  <si>
    <t>es061</t>
  </si>
  <si>
    <t>es062</t>
  </si>
  <si>
    <t>es063</t>
  </si>
  <si>
    <t>es064</t>
  </si>
  <si>
    <t>es065</t>
  </si>
  <si>
    <t>es066</t>
  </si>
  <si>
    <t>es067</t>
  </si>
  <si>
    <t>es068</t>
  </si>
  <si>
    <t>es069</t>
  </si>
  <si>
    <t>es070</t>
  </si>
  <si>
    <t>es071</t>
  </si>
  <si>
    <t>es072</t>
  </si>
  <si>
    <t>es073</t>
  </si>
  <si>
    <t>es074</t>
  </si>
  <si>
    <t>es075</t>
  </si>
  <si>
    <t>es076</t>
  </si>
  <si>
    <t>es077</t>
  </si>
  <si>
    <t>es078</t>
  </si>
  <si>
    <t>es079</t>
  </si>
  <si>
    <t>es080</t>
  </si>
  <si>
    <t>es081</t>
  </si>
  <si>
    <t>es082</t>
  </si>
  <si>
    <t>es083</t>
  </si>
  <si>
    <t>es084</t>
  </si>
  <si>
    <t>es085</t>
  </si>
  <si>
    <t>es086</t>
  </si>
  <si>
    <t>es087</t>
  </si>
  <si>
    <t>es088</t>
  </si>
  <si>
    <t>es089</t>
  </si>
  <si>
    <t>es090</t>
  </si>
  <si>
    <t>es091</t>
  </si>
  <si>
    <t>es092</t>
  </si>
  <si>
    <t>es093</t>
  </si>
  <si>
    <t>es094</t>
  </si>
  <si>
    <t>es095</t>
  </si>
  <si>
    <t>es096</t>
  </si>
  <si>
    <t>es097</t>
  </si>
  <si>
    <t>es098</t>
  </si>
  <si>
    <t>es099</t>
  </si>
  <si>
    <t>es100</t>
  </si>
  <si>
    <t>es101</t>
  </si>
  <si>
    <t>es102</t>
  </si>
  <si>
    <t>es103</t>
  </si>
  <si>
    <t>es104</t>
  </si>
  <si>
    <t>es105</t>
  </si>
  <si>
    <t>es106</t>
  </si>
  <si>
    <t>es107</t>
  </si>
  <si>
    <t>es108</t>
  </si>
  <si>
    <t>es109</t>
  </si>
  <si>
    <t>es110</t>
  </si>
  <si>
    <t>es111</t>
  </si>
  <si>
    <t>es112</t>
  </si>
  <si>
    <t>es113</t>
  </si>
  <si>
    <t>es114</t>
  </si>
  <si>
    <t>es115</t>
  </si>
  <si>
    <t>es116</t>
  </si>
  <si>
    <t>es117</t>
  </si>
  <si>
    <t>es118</t>
  </si>
  <si>
    <t>es127</t>
  </si>
  <si>
    <t>es128</t>
  </si>
  <si>
    <t>es129</t>
  </si>
  <si>
    <t>es130</t>
  </si>
  <si>
    <t>es131</t>
  </si>
  <si>
    <t>es132</t>
  </si>
  <si>
    <t>es133</t>
  </si>
  <si>
    <t>es134</t>
  </si>
  <si>
    <t>es135</t>
  </si>
  <si>
    <t>es136</t>
  </si>
  <si>
    <t>es137</t>
  </si>
  <si>
    <t>es138</t>
  </si>
  <si>
    <t>es140</t>
  </si>
  <si>
    <t>es141</t>
  </si>
  <si>
    <t>es142</t>
  </si>
  <si>
    <t>Basic and Clinical Neuroscience</t>
  </si>
  <si>
    <t>Niehues_2011_BCNEURO</t>
  </si>
  <si>
    <t>3 TO 5 MONTHS + 4 WEEKS TREATMENT</t>
  </si>
  <si>
    <t>also during tests, so min 24 but  max span is not known</t>
  </si>
  <si>
    <t>Mozart Kv361</t>
  </si>
  <si>
    <t>100-16000</t>
  </si>
  <si>
    <t>Risk assessment</t>
  </si>
  <si>
    <t>Niehues_2011_fig_1A</t>
  </si>
  <si>
    <t>Niehues_2011_fig_1B</t>
  </si>
  <si>
    <t>Niehues_2011_fig_1C</t>
  </si>
  <si>
    <t>Niehues_2011_fig_1D</t>
  </si>
  <si>
    <t>Niehues_2011_fig_1E</t>
  </si>
  <si>
    <t>Niehues_2011_fig_2A</t>
  </si>
  <si>
    <t>Niehues_2011_fig_2B</t>
  </si>
  <si>
    <t>Niehues_2011_fig_2C</t>
  </si>
  <si>
    <t>Niehues_2011_fig_2D</t>
  </si>
  <si>
    <t>es143</t>
  </si>
  <si>
    <t>es144</t>
  </si>
  <si>
    <t>es145</t>
  </si>
  <si>
    <t>es146</t>
  </si>
  <si>
    <t>es147</t>
  </si>
  <si>
    <t>es148</t>
  </si>
  <si>
    <t>es149</t>
  </si>
  <si>
    <t>es150</t>
  </si>
  <si>
    <t>Mozart K488 Addition Can Improve Depressive-Like Behavior in Rats: In Search of Better Management</t>
  </si>
  <si>
    <t>10.5530/pj.2024.16.53</t>
  </si>
  <si>
    <t xml:space="preserve">Pharmacognosy Journal </t>
  </si>
  <si>
    <t>Pangemanan_2024_PHJ</t>
  </si>
  <si>
    <t xml:space="preserve">2 pre tests before music treatmen; one befor CUMS, 1 after CUMS </t>
  </si>
  <si>
    <t>Induced and tested for CUMS</t>
  </si>
  <si>
    <t>PRE-CUM, CUM PRE TESTS results were done, so chronologically, this is t3</t>
  </si>
  <si>
    <t>60-80</t>
  </si>
  <si>
    <t>Pangemanan_2024_fig_3</t>
  </si>
  <si>
    <t>Regular music exposure in juvenile rats facilitates conditioned fear extinction and reduces anxiety after foot shock in adulthood</t>
  </si>
  <si>
    <t>10.1155/2019/8740674</t>
  </si>
  <si>
    <t>BioMed Research International</t>
  </si>
  <si>
    <t>Chen_2019_BIOMEDRI</t>
  </si>
  <si>
    <t>Sprague Dawley</t>
  </si>
  <si>
    <t>PND 14  to 35; juvenile to adolescent</t>
  </si>
  <si>
    <t>PND 60</t>
  </si>
  <si>
    <t>also repeated measures</t>
  </si>
  <si>
    <t>fear conditioning after the first behavioural assays, before second round of behavioural assays</t>
  </si>
  <si>
    <t>Fear conditioning</t>
  </si>
  <si>
    <t>20 min</t>
  </si>
  <si>
    <t>AFTER SHOCK</t>
  </si>
  <si>
    <t>Text</t>
  </si>
  <si>
    <t>control.prior_</t>
  </si>
  <si>
    <t>music.prior</t>
  </si>
  <si>
    <t>music.after</t>
  </si>
  <si>
    <t>contro.after_</t>
  </si>
  <si>
    <t>es151</t>
  </si>
  <si>
    <t>es152</t>
  </si>
  <si>
    <t>es153</t>
  </si>
  <si>
    <t>es154</t>
  </si>
  <si>
    <t>es155</t>
  </si>
  <si>
    <t>es156</t>
  </si>
  <si>
    <t>es157</t>
  </si>
  <si>
    <t>es158</t>
  </si>
  <si>
    <t>es159</t>
  </si>
  <si>
    <t>es160</t>
  </si>
  <si>
    <t>es161</t>
  </si>
  <si>
    <t>es162</t>
  </si>
  <si>
    <t>es163</t>
  </si>
  <si>
    <t>Heavy metal Music, Hip-hop Music and Construction Noise Induces Depressive Symptoms in mice</t>
  </si>
  <si>
    <t>ASEAN Journal of Psychiatry</t>
  </si>
  <si>
    <t>Ren_2024_ASEAN</t>
  </si>
  <si>
    <t>8 weeks</t>
  </si>
  <si>
    <t>hip hop</t>
  </si>
  <si>
    <t>heavy metal</t>
  </si>
  <si>
    <t>from 6 days: total sucrose intake/total liquid intake</t>
  </si>
  <si>
    <t xml:space="preserve">Figure 1 </t>
  </si>
  <si>
    <t>WT_</t>
  </si>
  <si>
    <t>HH</t>
  </si>
  <si>
    <t>HM</t>
  </si>
  <si>
    <t>Ren_2024_fig_1</t>
  </si>
  <si>
    <t>Ren_2024_fig_2</t>
  </si>
  <si>
    <t>Ren_2024_fig_3</t>
  </si>
  <si>
    <t>Nest building</t>
  </si>
  <si>
    <t>Performance</t>
  </si>
  <si>
    <t>Ren_2024_fig_4</t>
  </si>
  <si>
    <t>Ren_2024_fig_5a</t>
  </si>
  <si>
    <t>Distance open arm</t>
  </si>
  <si>
    <t>Ren_2024_fig_5b</t>
  </si>
  <si>
    <t>Figure 6</t>
  </si>
  <si>
    <t>Ren_2024_fig_6a</t>
  </si>
  <si>
    <t>Ren_2024_fig_6b</t>
  </si>
  <si>
    <t>es164</t>
  </si>
  <si>
    <t>es165</t>
  </si>
  <si>
    <t>es166</t>
  </si>
  <si>
    <t>es167</t>
  </si>
  <si>
    <t>es168</t>
  </si>
  <si>
    <t>es169</t>
  </si>
  <si>
    <t>es170</t>
  </si>
  <si>
    <t>es171</t>
  </si>
  <si>
    <t>es172</t>
  </si>
  <si>
    <t>es173</t>
  </si>
  <si>
    <t>es174</t>
  </si>
  <si>
    <t>es175</t>
  </si>
  <si>
    <t>es176</t>
  </si>
  <si>
    <t>es177</t>
  </si>
  <si>
    <t>es178</t>
  </si>
  <si>
    <t>es179</t>
  </si>
  <si>
    <t>Cocoa and classical music: effect on anxiety and antioxidant activity in Wistar rats</t>
  </si>
  <si>
    <t>Archivos Latinoamericanos de Nutrición</t>
  </si>
  <si>
    <t>Milbratz_2017_ALN</t>
  </si>
  <si>
    <t>young adult to adult; 3 to 5 months  + 15 days for some</t>
  </si>
  <si>
    <t xml:space="preserve">Cocoa powder </t>
  </si>
  <si>
    <t>Placebo: starch</t>
  </si>
  <si>
    <t>Peripheral ambulation</t>
  </si>
  <si>
    <t>Crossings periphery</t>
  </si>
  <si>
    <t>Center crossings</t>
  </si>
  <si>
    <t>Center ambulation</t>
  </si>
  <si>
    <t>Crossings</t>
  </si>
  <si>
    <t>Table 2</t>
  </si>
  <si>
    <t>CG_</t>
  </si>
  <si>
    <t>MG</t>
  </si>
  <si>
    <t>CPG_</t>
  </si>
  <si>
    <t>CPMG</t>
  </si>
  <si>
    <t>Missing rearing, grooming time; missing all EPM</t>
  </si>
  <si>
    <t>Milbratz_2017_fig_1</t>
  </si>
  <si>
    <t>es180</t>
  </si>
  <si>
    <t>es181</t>
  </si>
  <si>
    <t>es182</t>
  </si>
  <si>
    <t>es183</t>
  </si>
  <si>
    <t>es184</t>
  </si>
  <si>
    <t>es185</t>
  </si>
  <si>
    <t>es186</t>
  </si>
  <si>
    <t>es187</t>
  </si>
  <si>
    <t>es188</t>
  </si>
  <si>
    <t>es189</t>
  </si>
  <si>
    <t>es190</t>
  </si>
  <si>
    <t>es191</t>
  </si>
  <si>
    <t>es192</t>
  </si>
  <si>
    <t>es193</t>
  </si>
  <si>
    <t>es194</t>
  </si>
  <si>
    <t>es195</t>
  </si>
  <si>
    <t>es196</t>
  </si>
  <si>
    <t>es197</t>
  </si>
  <si>
    <t>Exposure to Patterned Auditory Stimuli during Acute Stress Prevents Despair-Like Behavior in Adult Mice That Were Previously Housed in an Enriched Environment in Combination with Auditory Stimuli</t>
  </si>
  <si>
    <t>10.1155/2018/8205245</t>
  </si>
  <si>
    <t>Neural Plasticity</t>
  </si>
  <si>
    <t>Flores_2018_NP</t>
  </si>
  <si>
    <t>ou00t5</t>
  </si>
  <si>
    <t>8-10 months</t>
  </si>
  <si>
    <t xml:space="preserve">daily average, incremental rate of exposure from 9 min at day one to 90 min at day 35 </t>
  </si>
  <si>
    <t>Not applicable</t>
  </si>
  <si>
    <t>Flores_2018_fig_3a</t>
  </si>
  <si>
    <t>NH-NoPAS/FST-NoPAS_</t>
  </si>
  <si>
    <t>NH-NoPAS/FST+PAS</t>
  </si>
  <si>
    <t>NH+PAS/FST-NoPAS</t>
  </si>
  <si>
    <t>NH+PAS/FST+PAS</t>
  </si>
  <si>
    <t>Immobility episodes</t>
  </si>
  <si>
    <t>Flores_2018_fig_3b</t>
  </si>
  <si>
    <t xml:space="preserve">Latency </t>
  </si>
  <si>
    <t>Flores_2018_fig_3c</t>
  </si>
  <si>
    <t>ENR-NoPAS/FST-NoPAS_</t>
  </si>
  <si>
    <t>ENR-NoPAS/FST+PAS</t>
  </si>
  <si>
    <t>ENR+PAS/FST+PAS</t>
  </si>
  <si>
    <t>ENR+PAS/FST-NoPAS</t>
  </si>
  <si>
    <t>daily average, incremental rate of exposure from 9 min at day one to 90 min at day 35</t>
  </si>
  <si>
    <t>ex005</t>
  </si>
  <si>
    <t>ex006</t>
  </si>
  <si>
    <t>es198</t>
  </si>
  <si>
    <t>es199</t>
  </si>
  <si>
    <t>es200</t>
  </si>
  <si>
    <t>es201</t>
  </si>
  <si>
    <t>es202</t>
  </si>
  <si>
    <t>es203</t>
  </si>
  <si>
    <t>es204</t>
  </si>
  <si>
    <t>es205</t>
  </si>
  <si>
    <t>es206</t>
  </si>
  <si>
    <t>es207</t>
  </si>
  <si>
    <t>es208</t>
  </si>
  <si>
    <t>es209</t>
  </si>
  <si>
    <t>es210</t>
  </si>
  <si>
    <t>es211</t>
  </si>
  <si>
    <t>es212</t>
  </si>
  <si>
    <t>es213</t>
  </si>
  <si>
    <t>es214</t>
  </si>
  <si>
    <t>es215</t>
  </si>
  <si>
    <t>Light and classical music therapies attenuate chronic unpredictable mild stress-induced depression via BDNF signaling pathway in mice</t>
  </si>
  <si>
    <t>10.1016/j.heliyon.2024.e34196</t>
  </si>
  <si>
    <t>Heliyon</t>
  </si>
  <si>
    <t>Cheng_2024_HLYN</t>
  </si>
  <si>
    <t>ICR</t>
  </si>
  <si>
    <t>12 weeks</t>
  </si>
  <si>
    <t>16 weeks</t>
  </si>
  <si>
    <t>Light</t>
  </si>
  <si>
    <t>Atonal</t>
  </si>
  <si>
    <t>Rock</t>
  </si>
  <si>
    <t>Cheng_2024_fig_1B</t>
  </si>
  <si>
    <t>light</t>
  </si>
  <si>
    <t>Classical</t>
  </si>
  <si>
    <t>ROCK</t>
  </si>
  <si>
    <t>Cheng_2024_fig_1C</t>
  </si>
  <si>
    <t>Cheng_2024_fig_1D</t>
  </si>
  <si>
    <t>Cheng_2024_fig_1E</t>
  </si>
  <si>
    <t>es216</t>
  </si>
  <si>
    <t>es217</t>
  </si>
  <si>
    <t>es218</t>
  </si>
  <si>
    <t>es219</t>
  </si>
  <si>
    <t>es220</t>
  </si>
  <si>
    <t>es221</t>
  </si>
  <si>
    <t>es222</t>
  </si>
  <si>
    <t>es223</t>
  </si>
  <si>
    <t>es224</t>
  </si>
  <si>
    <t>es225</t>
  </si>
  <si>
    <t>es226</t>
  </si>
  <si>
    <t>es227</t>
  </si>
  <si>
    <t>es228</t>
  </si>
  <si>
    <t>es229</t>
  </si>
  <si>
    <t>es230</t>
  </si>
  <si>
    <t>es231</t>
  </si>
  <si>
    <t>WHITENOISE_</t>
  </si>
  <si>
    <t>Long-Term Music Exposure Prevents Age-Related Cognitive Deficits in Rats Independently of Hippocampal Neurogenesis</t>
  </si>
  <si>
    <t>10.1093/cercor/bhaa247</t>
  </si>
  <si>
    <t>Cerebral Cortex</t>
  </si>
  <si>
    <t>Rizzolo_2021_CC</t>
  </si>
  <si>
    <t>Randomized block - assigned by weight</t>
  </si>
  <si>
    <t>15 months</t>
  </si>
  <si>
    <t>19 months</t>
  </si>
  <si>
    <t>23 months</t>
  </si>
  <si>
    <t>Rizzolo_2021_fig_2F</t>
  </si>
  <si>
    <t>19WN_</t>
  </si>
  <si>
    <t>19_M</t>
  </si>
  <si>
    <t>23_WN_</t>
  </si>
  <si>
    <t>23_M</t>
  </si>
  <si>
    <t>Only rats that were still alive at the end of the longitudinal follow up</t>
  </si>
  <si>
    <t>block randomization</t>
  </si>
  <si>
    <t>es233</t>
  </si>
  <si>
    <t>es234</t>
  </si>
  <si>
    <t>Anxiolytic effect of music exposure on BDNFMet/Met transgenic mice</t>
  </si>
  <si>
    <t>Brain Research</t>
  </si>
  <si>
    <t>10.1016/j.brainres.2010.05.080</t>
  </si>
  <si>
    <t>Li_2010_BR</t>
  </si>
  <si>
    <t>2-3 months</t>
  </si>
  <si>
    <t>Randomized block - assigned by age</t>
  </si>
  <si>
    <t>Li_2010_fig_1A</t>
  </si>
  <si>
    <t>wild.ambient_</t>
  </si>
  <si>
    <t>wild.music</t>
  </si>
  <si>
    <t>wild.wn</t>
  </si>
  <si>
    <t>Adjuvant effects of classical music on simvastatin induced reduction of anxiety but not object recognition memory in rats</t>
  </si>
  <si>
    <t>10.3922/j.psns.2013.3.19</t>
  </si>
  <si>
    <t>Camargo_2013_PSYN</t>
  </si>
  <si>
    <t>3-5 months</t>
  </si>
  <si>
    <t>young adults + adults</t>
  </si>
  <si>
    <t>Camargo_2013_fig_1A</t>
  </si>
  <si>
    <t>Camargo_2013_fig_1B</t>
  </si>
  <si>
    <t>Camargo_2013_fig_1C</t>
  </si>
  <si>
    <t>Camargo_2013_fig_1D</t>
  </si>
  <si>
    <t>Camargo_2013_fig_1E</t>
  </si>
  <si>
    <t>0.silence_</t>
  </si>
  <si>
    <t>0.music</t>
  </si>
  <si>
    <t>Camargo_2013_fig_2A</t>
  </si>
  <si>
    <t>Camargo_2013_fig_2C</t>
  </si>
  <si>
    <t>Camargo_2013_fig_2D</t>
  </si>
  <si>
    <t>Camargo_2013_fig_2B</t>
  </si>
  <si>
    <t>Camargo_2013_fig_2E</t>
  </si>
  <si>
    <t>CGMozart</t>
  </si>
  <si>
    <t>MSMozart</t>
  </si>
  <si>
    <t>es235</t>
  </si>
  <si>
    <t>es236</t>
  </si>
  <si>
    <t>es237</t>
  </si>
  <si>
    <t>es238</t>
  </si>
  <si>
    <t>es239</t>
  </si>
  <si>
    <t>es240</t>
  </si>
  <si>
    <t>es241</t>
  </si>
  <si>
    <t>es242</t>
  </si>
  <si>
    <t>es243</t>
  </si>
  <si>
    <t>es244</t>
  </si>
  <si>
    <t>es245</t>
  </si>
  <si>
    <t>es246</t>
  </si>
  <si>
    <t>es247</t>
  </si>
  <si>
    <t>es248</t>
  </si>
  <si>
    <t>Effects of music on stress induced hormones and oxidative stress levels</t>
  </si>
  <si>
    <t>10.17826/cumj.735738</t>
  </si>
  <si>
    <t>Cukurova Medical Journal</t>
  </si>
  <si>
    <t>Terzioglu_2020_CMJ</t>
  </si>
  <si>
    <t>30 d</t>
  </si>
  <si>
    <t>infantile to juvenile</t>
  </si>
  <si>
    <t>sufi</t>
  </si>
  <si>
    <t>Terzioglu_2020_fig_1</t>
  </si>
  <si>
    <t>rock</t>
  </si>
  <si>
    <t>es249</t>
  </si>
  <si>
    <t>es250</t>
  </si>
  <si>
    <t>es251</t>
  </si>
  <si>
    <t>Li_2010_fig_1b</t>
  </si>
  <si>
    <t xml:space="preserve">    </t>
  </si>
  <si>
    <t>Li_2010_fig_2A</t>
  </si>
  <si>
    <t>Li_2010_fig_2B</t>
  </si>
  <si>
    <t>es252</t>
  </si>
  <si>
    <t>es253</t>
  </si>
  <si>
    <t>es254</t>
  </si>
  <si>
    <t>es255</t>
  </si>
  <si>
    <t>Anxiolytic effect of music depends on ovarian steroid in female mice</t>
  </si>
  <si>
    <t>Behavioural Brain Research</t>
  </si>
  <si>
    <t>10.1016/j.bbr.2007.01.010</t>
  </si>
  <si>
    <t>Chikahisa_2007_BBR</t>
  </si>
  <si>
    <t>Slc:ddY</t>
  </si>
  <si>
    <t>11 w to 13 w</t>
  </si>
  <si>
    <t>Chikahisa_2007_fig_1A</t>
  </si>
  <si>
    <t>Chikahisa_2007_fig_1B</t>
  </si>
  <si>
    <t>Chikahisa_2007_fig_1C</t>
  </si>
  <si>
    <t>Chikahisa_2007_fig_1D</t>
  </si>
  <si>
    <t>Chikahisa_2007_fig_2A</t>
  </si>
  <si>
    <t>Chikahisa_2007_fig_2B</t>
  </si>
  <si>
    <t>implanted placebo pellet</t>
  </si>
  <si>
    <t>10 sham are missing</t>
  </si>
  <si>
    <t>No mentioned in methods</t>
  </si>
  <si>
    <t>Chikahisa_2007_fig_3A</t>
  </si>
  <si>
    <t>Chikahisa_2007_fig_3B</t>
  </si>
  <si>
    <t>Chikahisa_2007_fig_3C</t>
  </si>
  <si>
    <t>Chikahisa_2007_fig_3D</t>
  </si>
  <si>
    <t>don’t mention attrition</t>
  </si>
  <si>
    <t>Time in light area</t>
  </si>
  <si>
    <t>Chikahisa_2007_fig_4A</t>
  </si>
  <si>
    <t>Chikahisa_2007_fig_4B</t>
  </si>
  <si>
    <t>Music reduced anxiety levels inSHAMandOVX/Pmice in the light–dark transition. SHAM and OVX/P mice exposed to music showed more time spent in the light area (A) and shorter latency to move from the dark into the light area (B)</t>
  </si>
  <si>
    <t>Marble burying</t>
  </si>
  <si>
    <t>marbles buried</t>
  </si>
  <si>
    <t>Chikahisa_2007_fig_5A</t>
  </si>
  <si>
    <t>inhibition of marble burying = anxiolytic effect</t>
  </si>
  <si>
    <t>sham operated</t>
  </si>
  <si>
    <t>sesame oil/vehicle</t>
  </si>
  <si>
    <t>don’t mention attrition; missing transitions</t>
  </si>
  <si>
    <t>motion</t>
  </si>
  <si>
    <t>transitions</t>
  </si>
  <si>
    <t>Figure 7</t>
  </si>
  <si>
    <t>Figure 8</t>
  </si>
  <si>
    <t>Figure 9</t>
  </si>
  <si>
    <t>Figure 10</t>
  </si>
  <si>
    <t>Chikahisa_2007_fig_7A</t>
  </si>
  <si>
    <t>Chikahisa_2007_fig_7B</t>
  </si>
  <si>
    <t>Chikahisa_2007_fig_8A</t>
  </si>
  <si>
    <t>Chikahisa_2007_fig_8B</t>
  </si>
  <si>
    <t>Chikahisa_2007_fig_8C</t>
  </si>
  <si>
    <t>Chikahisa_2007_fig_8D</t>
  </si>
  <si>
    <t>Chikahisa_2007_fig_9A</t>
  </si>
  <si>
    <t>Chikahisa_2007_fig_9B</t>
  </si>
  <si>
    <t>Chikahisa_2007_fig_9C</t>
  </si>
  <si>
    <t>Chikahisa_2007_fig_10</t>
  </si>
  <si>
    <t>es256</t>
  </si>
  <si>
    <t>es257</t>
  </si>
  <si>
    <t>es258</t>
  </si>
  <si>
    <t>es259</t>
  </si>
  <si>
    <t>es260</t>
  </si>
  <si>
    <t>es261</t>
  </si>
  <si>
    <t>es262</t>
  </si>
  <si>
    <t>es263</t>
  </si>
  <si>
    <t>es264</t>
  </si>
  <si>
    <t>es265</t>
  </si>
  <si>
    <t>es266</t>
  </si>
  <si>
    <t>es267</t>
  </si>
  <si>
    <t>es268</t>
  </si>
  <si>
    <t>es269</t>
  </si>
  <si>
    <t>es270</t>
  </si>
  <si>
    <t>es271</t>
  </si>
  <si>
    <t>es272</t>
  </si>
  <si>
    <t>es273</t>
  </si>
  <si>
    <t>es274</t>
  </si>
  <si>
    <t>es275</t>
  </si>
  <si>
    <t>es276</t>
  </si>
  <si>
    <t>es277</t>
  </si>
  <si>
    <t>es278</t>
  </si>
  <si>
    <t>es279</t>
  </si>
  <si>
    <t>es280</t>
  </si>
  <si>
    <t>es281</t>
  </si>
  <si>
    <t>es282</t>
  </si>
  <si>
    <t>es283</t>
  </si>
  <si>
    <t>es284</t>
  </si>
  <si>
    <t>es285</t>
  </si>
  <si>
    <t>es286</t>
  </si>
  <si>
    <t>es287</t>
  </si>
  <si>
    <t>es288</t>
  </si>
  <si>
    <t>es289</t>
  </si>
  <si>
    <t>es290</t>
  </si>
  <si>
    <t>es291</t>
  </si>
  <si>
    <t>es292</t>
  </si>
  <si>
    <t>es293</t>
  </si>
  <si>
    <t>es294</t>
  </si>
  <si>
    <t>es295</t>
  </si>
  <si>
    <t>es296</t>
  </si>
  <si>
    <t>es297</t>
  </si>
  <si>
    <t>es298</t>
  </si>
  <si>
    <t>es299</t>
  </si>
  <si>
    <t>es300</t>
  </si>
  <si>
    <t>es301</t>
  </si>
  <si>
    <t>es302</t>
  </si>
  <si>
    <t>es303</t>
  </si>
  <si>
    <t>es304</t>
  </si>
  <si>
    <t>es305</t>
  </si>
  <si>
    <t>es306</t>
  </si>
  <si>
    <t>es307</t>
  </si>
  <si>
    <t>es308</t>
  </si>
  <si>
    <t>es309</t>
  </si>
  <si>
    <t>Fu_2023_fig_1C</t>
  </si>
  <si>
    <t>Fu_2023_fig_1D</t>
  </si>
  <si>
    <t>Fu_2023_fig_1E</t>
  </si>
  <si>
    <t>Fu_2023_fig_1F</t>
  </si>
  <si>
    <t>Stimulus_reporting</t>
  </si>
  <si>
    <t>How many of the two main physical characteristics (Loudness in dB and Frequency in Hz) were explicitly reported? Coded: 0 = none reported; 1 = one reported, 2 = both reported</t>
  </si>
  <si>
    <t>Control_stimulus_reporting</t>
  </si>
  <si>
    <t>This variable assesses whether the study provided the necessary quantitative detail (Loudness and/or Frequency) for its specific control condition. Coded: 2 = "Adequate Reporting" if the study reported all expected quantitative characteristics for the chosen control condition (e.g., Loudness for Ambient Sound, Loudness and frequency for White Noise). 1 = "Partial reporting" if the study used white noise and only reported loudness or frequency; 0 = "inadequate reporting" if the study does not report any details on the control loudness and frequency</t>
  </si>
  <si>
    <t>Overall_ROB</t>
  </si>
  <si>
    <t>Overall_rob</t>
  </si>
  <si>
    <t xml:space="preserve">Meta-genre </t>
  </si>
  <si>
    <t>Definition</t>
  </si>
  <si>
    <t>Meta_genre</t>
  </si>
  <si>
    <t xml:space="preserve">Self reported broad music genre: classical, new age, mixed, unclear, other. </t>
  </si>
  <si>
    <t>Calculated by summing four low-risk indicators: "Yes" for Guideline Use, Blinding, and Randomization, PLUS "No" for Selective Reporting (Max Score 4). Note: "Not Reported" = Score 0. Levels: 2 (Low ROB) = Score 4; 1 (Moderate ROB) = Score 2-3; 0 (High ROB)= 0-1.moderate risk of bias" score 2 to 3; 0 = "high risk of bias" socre 0 to 1</t>
  </si>
  <si>
    <t>Western Art Music / Orchestral</t>
  </si>
  <si>
    <t>This category encompasses music primarily associated with the European classical tradition, spanning historical periods from the Baroque era (c. 1600) to the 20th century and beyond. It specifically includes works labeled as classical music by primary sources, covering orchestral compositions, chamber music (such as string quartets), opera, and solo instrumental pieces. An important inclusion note is that this category also covers film/media/game scores and soundtracks where the performance is predominantly carried out by an orchestra or a classical ensemble, irrespective of the composition date.</t>
  </si>
  <si>
    <t>Popular Contemporary Music</t>
  </si>
  <si>
    <t>covers mainstream and influential popular music styles originating from the mid-20th century (approximately 1950) up to the present day. This broad category includes genres such as Pop, Rock (encompassing all subgenres, including Heavy Metal), Indie, Rap, Hip-Hop, R&amp;B, Soul, Jazz (both contemporary and traditional forms), Electronic Dance Music (EDM), Country, Disco, Funk, and Reggae, among others.</t>
  </si>
  <si>
    <t>Traditional Music / Folk / World</t>
  </si>
  <si>
    <t>This category is defined by music rooted in the specific cultural traditions of a region, community, or ethnic group. It includes music explicitly described by the authors as traditional, folk, ethnic music, or “world” music. This classification emphasizes music that is non-Western classical, indigenous, or rooted in historical folk traditions, often featuring traditional instrumentation and prioritizing cultural or historical authenticity over contemporary mainstream appeal.</t>
  </si>
  <si>
    <t>A Mixed-Genre Playlist is defined by music lists or experimental conditions where the authors have intentionally combined several distinct and different genres within a single intervention or condition. The key criterion for this classification is that no single defined genre is clearly dominant, meaning the heterogeneity of the music (e.g., a mix of Rap, EDM, and Country) is considered a primary characteristic of the intervention.</t>
  </si>
  <si>
    <t>cases where there is insufficient information to confidently classify the music into any of the preceding four categories</t>
  </si>
  <si>
    <t>The classification uses four categories to capture the range of musical exposure durations in animal studies. Acute Exposure:  spans 1 to 7 days, representing the initial, immediate effects of the stimulus, specifically aligning with the typical 7-day acclimatization/baseline period in rodent studies. Short-Term Exposure runs from 8 to 28 days, focusing on early sustained effects and initial adaptation beyond the acute phase. Medium-Term Exposure covers 29 to 60 days, reflecting established, moderate-term changes, neuroplasticity, and the progression of chronic models. Finally, Long-Term Exposure includes all durations greater than 60 days, necessary for studying chronic, lifelong, developmental, or potentially irreversible outcomes</t>
  </si>
  <si>
    <t>Music_Exposure_Duration</t>
  </si>
  <si>
    <t>Acute</t>
  </si>
  <si>
    <t>Short</t>
  </si>
  <si>
    <t>Medium</t>
  </si>
  <si>
    <t>Long</t>
  </si>
  <si>
    <t>1-7 days</t>
  </si>
  <si>
    <t>8-28 days</t>
  </si>
  <si>
    <t>29-60 days</t>
  </si>
  <si>
    <t>&gt;60 days</t>
  </si>
  <si>
    <t>Exposure category</t>
  </si>
  <si>
    <t>Span</t>
  </si>
  <si>
    <t>classifies music stimuli into broad  groups based on their historical context, primary cultural origin, and dominant musical style. The five categories are: Western Art Music / Orchestral (classical tradition, c. 1600-present, including orchestral media scores); Popular Contemporary Music (mainstream styles originating post-1950, including Rock, Pop, Hip-Hop, and Jazz); Traditional Music / Folk / World (music rooted in specific cultural or non-Western classical traditions); Mixed (playlists intentionally combining several distinct genres with no single one dominant); and Unclear (insufficient information for confident classification). Refer to Appendix () for complete definitions.</t>
  </si>
  <si>
    <t>Music_exposure_duration</t>
  </si>
  <si>
    <t>Comparison_structure</t>
  </si>
  <si>
    <t>Independent</t>
  </si>
  <si>
    <t>Dependent</t>
  </si>
  <si>
    <t>Indicates if the specific Control vs. Music contrast used to calculate the effect size is derived from two independent groups or one dependent (same) group of animals. Independent (Separate animals used for C) and Dependent (Same animals used for C and E)</t>
  </si>
  <si>
    <t>Timing_reporting</t>
  </si>
  <si>
    <t>Reporting_quality</t>
  </si>
  <si>
    <t xml:space="preserve"> </t>
  </si>
  <si>
    <t>A composite score (range: 0–10) quantifying a study's overall methodological and reporting rigor. It is calculated as the sum of four transparency and quality indicators: Stimulus Reporting (details on music), Control Stimulus Reporting, Timing Reporting (exposure and testing phase), and Overall Risk of Bias ($\text{ROB}$).</t>
  </si>
  <si>
    <t>Assesses study transparency regarding the timing of the intervention and testing. This is scored based on whether the necessary quantitative detail was reported for both music exposure (light or dark phase) and behavioral testing. A score of 2 means both timings were reported; 1 means only one was reported; and 0 means neither was reported.</t>
  </si>
  <si>
    <t>Wistar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</si>
</sst>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Aptos Narrow"/>
      <family val="2"/>
      <scheme val="minor"/>
    </font>
    <font>
      <sz val="11"/>
      <color theme="1"/>
      <name val="Calibri"/>
      <family val="2"/>
    </font>
    <font>
      <sz val="11"/>
      <color rgb="FF000000"/>
      <name val="Trebuchet MS"/>
      <family val="2"/>
    </font>
    <font>
      <sz val="11"/>
      <color theme="1"/>
      <name val="Trebuchet MS"/>
      <family val="2"/>
    </font>
    <font>
      <i/>
      <sz val="11"/>
      <color theme="1"/>
      <name val="Trebuchet MS"/>
      <family val="2"/>
    </font>
    <font>
      <b/>
      <sz val="12"/>
      <color rgb="FF000000"/>
      <name val="Trebuchet MS"/>
      <family val="2"/>
    </font>
    <font>
      <sz val="12"/>
      <color theme="1"/>
      <name val="Trebuchet MS"/>
      <family val="2"/>
    </font>
    <font>
      <b/>
      <sz val="11"/>
      <color rgb="FF000000"/>
      <name val="Trebuchet MS"/>
      <family val="2"/>
    </font>
    <font>
      <sz val="8"/>
      <name val="Aptos Narrow"/>
      <family val="2"/>
      <scheme val="minor"/>
    </font>
    <font>
      <sz val="11"/>
      <color theme="1"/>
      <name val="Arial"/>
      <family val="2"/>
    </font>
  </fonts>
  <fills count="6">
    <fill>
      <patternFill patternType="none"/>
    </fill>
    <fill>
      <patternFill patternType="gray125"/>
    </fill>
    <fill>
      <patternFill patternType="solid">
        <fgColor rgb="FFB4C6E7"/>
        <bgColor indexed="64"/>
      </patternFill>
    </fill>
    <fill>
      <patternFill patternType="solid">
        <fgColor rgb="FFD9E2F3"/>
        <bgColor indexed="64"/>
      </patternFill>
    </fill>
    <fill>
      <patternFill patternType="solid">
        <fgColor rgb="FFDEEAF6"/>
        <bgColor indexed="64"/>
      </patternFill>
    </fill>
    <fill>
      <patternFill patternType="solid">
        <fgColor theme="6" tint="0.79998168889431442"/>
        <bgColor indexed="64"/>
      </patternFill>
    </fill>
  </fills>
  <borders count="17">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diagonal/>
    </border>
    <border>
      <left/>
      <right style="medium">
        <color rgb="FFBFBFBF"/>
      </right>
      <top/>
      <bottom/>
      <diagonal/>
    </border>
    <border>
      <left style="medium">
        <color rgb="FFBFBFBF"/>
      </left>
      <right/>
      <top style="medium">
        <color rgb="FFBFBFBF"/>
      </top>
      <bottom style="medium">
        <color rgb="FFBFBFBF"/>
      </bottom>
      <diagonal/>
    </border>
    <border>
      <left style="medium">
        <color rgb="FFBFBFBF"/>
      </left>
      <right style="medium">
        <color rgb="FFBFBFBF"/>
      </right>
      <top style="medium">
        <color rgb="FFBFBFBF"/>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bottom/>
      <diagonal/>
    </border>
  </borders>
  <cellStyleXfs count="1">
    <xf numFmtId="0" fontId="0" fillId="0" borderId="0"/>
  </cellStyleXfs>
  <cellXfs count="45">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0" fillId="0" borderId="0" xfId="0" applyAlignment="1">
      <alignment vertical="center"/>
    </xf>
    <xf numFmtId="0" fontId="3" fillId="0" borderId="13" xfId="0" applyFont="1" applyBorder="1" applyAlignment="1">
      <alignment vertical="center" wrapText="1"/>
    </xf>
    <xf numFmtId="0" fontId="5" fillId="3" borderId="10" xfId="0" applyFont="1" applyFill="1" applyBorder="1" applyAlignment="1">
      <alignment vertical="center" wrapText="1"/>
    </xf>
    <xf numFmtId="0" fontId="6" fillId="0" borderId="12" xfId="0" applyFont="1" applyBorder="1" applyAlignment="1">
      <alignment vertical="center" wrapText="1"/>
    </xf>
    <xf numFmtId="0" fontId="6" fillId="0" borderId="14" xfId="0" applyFont="1" applyBorder="1" applyAlignment="1">
      <alignment vertical="center" wrapText="1"/>
    </xf>
    <xf numFmtId="0" fontId="5" fillId="3" borderId="14" xfId="0" applyFont="1" applyFill="1" applyBorder="1" applyAlignment="1">
      <alignment vertical="center" wrapText="1"/>
    </xf>
    <xf numFmtId="0" fontId="6" fillId="0" borderId="0" xfId="0" applyFont="1" applyAlignment="1">
      <alignment vertical="center" wrapText="1"/>
    </xf>
    <xf numFmtId="0" fontId="7" fillId="4" borderId="10" xfId="0" applyFont="1" applyFill="1" applyBorder="1" applyAlignment="1">
      <alignment vertical="center" wrapText="1"/>
    </xf>
    <xf numFmtId="0" fontId="3" fillId="0" borderId="15" xfId="0" applyFont="1" applyBorder="1" applyAlignment="1">
      <alignment vertical="center" wrapText="1"/>
    </xf>
    <xf numFmtId="0" fontId="3" fillId="0" borderId="14" xfId="0" applyFont="1" applyBorder="1" applyAlignment="1">
      <alignment vertical="center" wrapText="1"/>
    </xf>
    <xf numFmtId="0" fontId="7" fillId="4" borderId="14" xfId="0" applyFont="1" applyFill="1" applyBorder="1" applyAlignment="1">
      <alignment vertical="center" wrapText="1"/>
    </xf>
    <xf numFmtId="0" fontId="3" fillId="0" borderId="0" xfId="0" applyFont="1" applyAlignment="1">
      <alignment vertical="center" wrapText="1"/>
    </xf>
    <xf numFmtId="0" fontId="6" fillId="0" borderId="16" xfId="0" applyFont="1" applyBorder="1" applyAlignment="1">
      <alignment vertical="center" wrapText="1"/>
    </xf>
    <xf numFmtId="0" fontId="3" fillId="0" borderId="3" xfId="0" applyFont="1" applyBorder="1" applyAlignment="1">
      <alignment vertical="center"/>
    </xf>
    <xf numFmtId="0" fontId="3" fillId="0" borderId="8" xfId="0" applyFont="1" applyBorder="1" applyAlignment="1">
      <alignment vertical="center"/>
    </xf>
    <xf numFmtId="0" fontId="3" fillId="0" borderId="3" xfId="0" applyFont="1" applyBorder="1"/>
    <xf numFmtId="2" fontId="0" fillId="0" borderId="0" xfId="0" applyNumberFormat="1"/>
    <xf numFmtId="0" fontId="3" fillId="5" borderId="3" xfId="0" applyFont="1" applyFill="1" applyBorder="1" applyAlignment="1">
      <alignment vertical="center" wrapText="1"/>
    </xf>
    <xf numFmtId="0" fontId="3" fillId="5" borderId="4" xfId="0" applyFont="1" applyFill="1" applyBorder="1" applyAlignment="1">
      <alignment vertical="center" wrapText="1"/>
    </xf>
    <xf numFmtId="0" fontId="3" fillId="0" borderId="3" xfId="0" applyFont="1" applyBorder="1" applyAlignment="1">
      <alignment horizontal="center" vertical="center"/>
    </xf>
    <xf numFmtId="0" fontId="0" fillId="0" borderId="0" xfId="0" applyAlignment="1">
      <alignment horizontal="center"/>
    </xf>
    <xf numFmtId="0" fontId="0" fillId="0" borderId="0" xfId="0" applyAlignment="1">
      <alignment wrapText="1"/>
    </xf>
    <xf numFmtId="0" fontId="3" fillId="5" borderId="5" xfId="0" applyFont="1" applyFill="1" applyBorder="1" applyAlignment="1">
      <alignment vertical="center" wrapText="1"/>
    </xf>
    <xf numFmtId="0" fontId="0" fillId="5" borderId="0" xfId="0" applyFill="1" applyAlignment="1">
      <alignment wrapText="1"/>
    </xf>
    <xf numFmtId="0" fontId="3" fillId="0" borderId="5" xfId="0" applyFont="1" applyBorder="1" applyAlignment="1">
      <alignment horizontal="center" vertical="center"/>
    </xf>
    <xf numFmtId="164" fontId="0" fillId="0" borderId="0" xfId="0" applyNumberFormat="1" applyAlignment="1">
      <alignment horizontal="center" vertical="center"/>
    </xf>
    <xf numFmtId="0" fontId="9" fillId="0" borderId="0" xfId="0" applyFont="1"/>
    <xf numFmtId="0" fontId="0" fillId="5" borderId="0" xfId="0" applyFill="1"/>
    <xf numFmtId="0" fontId="3" fillId="0" borderId="5" xfId="0" applyFont="1" applyBorder="1" applyAlignment="1">
      <alignment vertical="center"/>
    </xf>
    <xf numFmtId="0" fontId="3" fillId="5" borderId="3" xfId="0" applyFont="1" applyFill="1" applyBorder="1" applyAlignment="1">
      <alignment vertical="center"/>
    </xf>
    <xf numFmtId="0" fontId="2" fillId="3" borderId="7" xfId="0" applyFont="1" applyFill="1" applyBorder="1" applyAlignment="1">
      <alignment vertical="center" wrapText="1"/>
    </xf>
    <xf numFmtId="0" fontId="2" fillId="3" borderId="2" xfId="0" applyFont="1" applyFill="1" applyBorder="1" applyAlignment="1">
      <alignment vertical="center" wrapText="1"/>
    </xf>
    <xf numFmtId="0" fontId="3" fillId="0" borderId="8"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cellXfs>
  <cellStyles count="1">
    <cellStyle name="Normal" xfId="0" builtinId="0"/>
  </cellStyles>
  <dxfs count="14">
    <dxf>
      <font>
        <b val="0"/>
        <i val="0"/>
        <strike val="0"/>
        <condense val="0"/>
        <extend val="0"/>
        <outline val="0"/>
        <shadow val="0"/>
        <u val="none"/>
        <vertAlign val="baseline"/>
        <sz val="11"/>
        <color theme="1"/>
        <name val="Trebuchet MS"/>
        <family val="2"/>
        <scheme val="none"/>
      </font>
      <alignment horizontal="general" vertical="center" textRotation="0" wrapText="1" indent="0" justifyLastLine="0" shrinkToFit="0" readingOrder="0"/>
      <border diagonalUp="0" diagonalDown="0">
        <left/>
        <right/>
        <top/>
        <bottom style="medium">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Trebuchet MS"/>
        <family val="2"/>
        <scheme val="none"/>
      </font>
      <alignment horizontal="general"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rgb="FF000000"/>
        <name val="Trebuchet MS"/>
        <family val="2"/>
        <scheme val="none"/>
      </font>
      <fill>
        <patternFill patternType="solid">
          <fgColor indexed="64"/>
          <bgColor rgb="FFDEEAF6"/>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Trebuchet MS"/>
        <family val="2"/>
        <scheme val="none"/>
      </font>
      <alignment horizontal="general" vertical="center" textRotation="0" wrapText="1" indent="0" justifyLastLine="0" shrinkToFit="0" readingOrder="0"/>
      <border diagonalUp="0" diagonalDown="0">
        <left/>
        <right/>
        <top/>
        <bottom style="medium">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Trebuchet MS"/>
        <family val="2"/>
        <scheme val="none"/>
      </font>
      <alignment horizontal="general"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rgb="FF000000"/>
        <name val="Trebuchet MS"/>
        <family val="2"/>
        <scheme val="none"/>
      </font>
      <fill>
        <patternFill patternType="solid">
          <fgColor indexed="64"/>
          <bgColor rgb="FFD9E2F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rebuchet MS"/>
        <family val="2"/>
        <scheme val="none"/>
      </font>
      <alignment horizontal="general" vertical="center" textRotation="0" wrapText="1" indent="0" justifyLastLine="0" shrinkToFit="0" readingOrder="0"/>
      <border diagonalUp="0" diagonalDown="0">
        <left style="medium">
          <color indexed="64"/>
        </left>
        <right style="medium">
          <color indexed="64"/>
        </right>
        <top/>
        <bottom style="medium">
          <color indexed="64"/>
        </bottom>
        <vertical/>
        <horizontal/>
      </border>
    </dxf>
    <dxf>
      <border outline="0">
        <bottom style="medium">
          <color indexed="64"/>
        </bottom>
      </border>
    </dxf>
    <dxf>
      <font>
        <b val="0"/>
        <i val="0"/>
        <strike val="0"/>
        <condense val="0"/>
        <extend val="0"/>
        <outline val="0"/>
        <shadow val="0"/>
        <u val="none"/>
        <vertAlign val="baseline"/>
        <sz val="11"/>
        <color theme="1"/>
        <name val="Trebuchet MS"/>
        <family val="2"/>
        <scheme val="none"/>
      </font>
      <alignment horizontal="general" vertical="center" textRotation="0" wrapText="1"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9474E8-A2DE-45C5-8D0A-61E0E8DC691E}" name="Table2" displayName="Table2" ref="A1:A3" totalsRowShown="0">
  <autoFilter ref="A1:A3" xr:uid="{B29474E8-A2DE-45C5-8D0A-61E0E8DC691E}"/>
  <tableColumns count="1">
    <tableColumn id="1" xr3:uid="{5628EDE9-26A2-4172-86E1-3AE7F5A93913}" name="Species_lat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37CDC5-C4F7-429F-A52A-0BBA43916CA3}" name="Table3" displayName="Table3" ref="B1:B3" totalsRowShown="0">
  <autoFilter ref="B1:B3" xr:uid="{0937CDC5-C4F7-429F-A52A-0BBA43916CA3}"/>
  <tableColumns count="1">
    <tableColumn id="1" xr3:uid="{9593EC21-E2F3-4EB1-A77F-4986C6FAE568}" name="Species_comm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69A2C9-E59F-4277-B743-5D878CCF80E5}" name="Table4" displayName="Table4" ref="C1:C11" totalsRowShown="0">
  <autoFilter ref="C1:C11" xr:uid="{3369A2C9-E59F-4277-B743-5D878CCF80E5}"/>
  <tableColumns count="1">
    <tableColumn id="1" xr3:uid="{749FC42D-85B5-406B-81AA-E16C9FE065C2}" name="Lifestag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ECB7B1-31F7-48BB-9C8A-A45F966F3BE9}" name="Table5" displayName="Table5" ref="D1:D5" totalsRowShown="0">
  <autoFilter ref="D1:D5" xr:uid="{9EECB7B1-31F7-48BB-9C8A-A45F966F3BE9}"/>
  <tableColumns count="1">
    <tableColumn id="1" xr3:uid="{90310DAD-EECA-4876-B25E-0481854E402D}" name="Sex"/>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C8114A-3743-47A4-95E7-2BDD3391E7F3}" name="Table9" displayName="Table9" ref="E1:Q11" totalsRowShown="0">
  <autoFilter ref="E1:Q11" xr:uid="{C2C8114A-3743-47A4-95E7-2BDD3391E7F3}"/>
  <tableColumns count="13">
    <tableColumn id="1" xr3:uid="{E5016180-8A8E-4A52-963B-99E7E19A1BAE}" name="MISC_1"/>
    <tableColumn id="2" xr3:uid="{E7C0DBE9-78D6-451E-9A11-C7A104CF791F}" name="Induced_behaviour"/>
    <tableColumn id="3" xr3:uid="{75D1D496-6A5D-4614-826B-FA49AB7276A8}" name="Exp_procedures"/>
    <tableColumn id="4" xr3:uid="{377EB0C9-6AA4-4BB1-AF98-7CD0CC2DA2C7}" name="Relative_timing"/>
    <tableColumn id="5" xr3:uid="{456691F6-A869-4FC5-A495-07A67584ABC8}" name="Music_timing"/>
    <tableColumn id="6" xr3:uid="{73F5D5B5-9E88-4F29-862E-2CD8B7B62C66}" name="Music_type"/>
    <tableColumn id="7" xr3:uid="{E5F1AC85-B2B5-4BA4-BDA6-30A5B5548C7B}" name="Control_conditions"/>
    <tableColumn id="8" xr3:uid="{B7A253E5-78AA-4418-9C4F-CFDEDF6A7A35}" name="Outcome_type"/>
    <tableColumn id="9" xr3:uid="{75AD9776-4863-4333-B20B-A53172E9F943}" name="Data_type"/>
    <tableColumn id="10" xr3:uid="{48771787-DEA1-4811-AC15-84A5F9571639}" name="Data units"/>
    <tableColumn id="11" xr3:uid="{1CB74C10-74EE-41C5-A7F1-8F02AFFD0F63}" name="MISC_2"/>
    <tableColumn id="12" xr3:uid="{26633970-2D3E-47C5-B7B5-BDB3D2DABF2B}" name="MISC_3"/>
    <tableColumn id="13" xr3:uid="{BEAFF5C6-8BE1-4318-B02C-E29F84AC2AA6}" name="Random"/>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704C65-4007-41AD-9266-3F05EE4DD9EA}" name="Table6" displayName="Table6" ref="A1:A15" totalsRowShown="0" headerRowDxfId="13" dataDxfId="12" tableBorderDxfId="11">
  <autoFilter ref="A1:A15" xr:uid="{F1704C65-4007-41AD-9266-3F05EE4DD9EA}"/>
  <tableColumns count="1">
    <tableColumn id="1" xr3:uid="{3F3CC9AA-6CFA-4B7F-B3F7-88E1F891494C}" name="Design"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D8CE367-8DC1-4D03-B90B-CCC1B4F6EACE}" name="Table7" displayName="Table7" ref="A1:A7" totalsRowShown="0" headerRowDxfId="9" dataDxfId="7" headerRowBorderDxfId="8" tableBorderDxfId="6">
  <autoFilter ref="A1:A7" xr:uid="{BD8CE367-8DC1-4D03-B90B-CCC1B4F6EACE}"/>
  <tableColumns count="1">
    <tableColumn id="1" xr3:uid="{D7C5122B-3356-4BF7-854E-CDA6C436E727}" name="Assay name" dataDxf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72FB46-F0B5-40AC-ADC2-C368212598E2}" name="Table8" displayName="Table8" ref="A1:A10" totalsRowShown="0" headerRowDxfId="4" dataDxfId="2" headerRowBorderDxfId="3" tableBorderDxfId="1">
  <autoFilter ref="A1:A10" xr:uid="{3472FB46-F0B5-40AC-ADC2-C368212598E2}"/>
  <tableColumns count="1">
    <tableColumn id="1" xr3:uid="{78799EBC-3522-4271-BE29-427060300D5C}" name="Assa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30CC-5B5E-48C6-B976-720D2D54FDFE}">
  <dimension ref="A1:H104"/>
  <sheetViews>
    <sheetView topLeftCell="A35" workbookViewId="0">
      <selection activeCell="A43" sqref="A43:B43"/>
    </sheetView>
  </sheetViews>
  <sheetFormatPr defaultRowHeight="14.5" x14ac:dyDescent="0.35"/>
  <cols>
    <col min="1" max="1" width="50.90625" customWidth="1"/>
    <col min="2" max="2" width="102.54296875" customWidth="1"/>
  </cols>
  <sheetData>
    <row r="1" spans="1:2" ht="15" thickBot="1" x14ac:dyDescent="0.4">
      <c r="A1" s="1" t="s">
        <v>0</v>
      </c>
      <c r="B1" s="2" t="s">
        <v>1</v>
      </c>
    </row>
    <row r="2" spans="1:2" ht="15" thickBot="1" x14ac:dyDescent="0.4">
      <c r="A2" s="40" t="s">
        <v>2</v>
      </c>
      <c r="B2" s="41"/>
    </row>
    <row r="3" spans="1:2" ht="29.5" thickBot="1" x14ac:dyDescent="0.4">
      <c r="A3" s="3" t="s">
        <v>3</v>
      </c>
      <c r="B3" s="4" t="s">
        <v>4</v>
      </c>
    </row>
    <row r="4" spans="1:2" ht="15" thickBot="1" x14ac:dyDescent="0.4">
      <c r="A4" s="3" t="s">
        <v>5</v>
      </c>
      <c r="B4" s="4" t="s">
        <v>6</v>
      </c>
    </row>
    <row r="5" spans="1:2" ht="15" thickBot="1" x14ac:dyDescent="0.4">
      <c r="A5" s="3" t="s">
        <v>7</v>
      </c>
      <c r="B5" s="4" t="s">
        <v>8</v>
      </c>
    </row>
    <row r="6" spans="1:2" ht="29.5" thickBot="1" x14ac:dyDescent="0.4">
      <c r="A6" s="3" t="s">
        <v>9</v>
      </c>
      <c r="B6" s="4" t="s">
        <v>10</v>
      </c>
    </row>
    <row r="7" spans="1:2" ht="29.5" thickBot="1" x14ac:dyDescent="0.4">
      <c r="A7" s="3" t="s">
        <v>11</v>
      </c>
      <c r="B7" s="4" t="s">
        <v>12</v>
      </c>
    </row>
    <row r="8" spans="1:2" ht="15" thickBot="1" x14ac:dyDescent="0.4">
      <c r="A8" s="3" t="s">
        <v>13</v>
      </c>
      <c r="B8" s="4" t="s">
        <v>14</v>
      </c>
    </row>
    <row r="9" spans="1:2" ht="44" thickBot="1" x14ac:dyDescent="0.4">
      <c r="A9" s="3" t="s">
        <v>15</v>
      </c>
      <c r="B9" s="4" t="s">
        <v>16</v>
      </c>
    </row>
    <row r="10" spans="1:2" ht="15" thickBot="1" x14ac:dyDescent="0.4">
      <c r="A10" s="3" t="s">
        <v>17</v>
      </c>
      <c r="B10" s="4" t="s">
        <v>18</v>
      </c>
    </row>
    <row r="11" spans="1:2" ht="29.5" thickBot="1" x14ac:dyDescent="0.4">
      <c r="A11" s="3" t="s">
        <v>19</v>
      </c>
      <c r="B11" s="4" t="s">
        <v>20</v>
      </c>
    </row>
    <row r="12" spans="1:2" ht="15" thickBot="1" x14ac:dyDescent="0.4">
      <c r="A12" s="3" t="s">
        <v>21</v>
      </c>
      <c r="B12" s="4" t="s">
        <v>22</v>
      </c>
    </row>
    <row r="13" spans="1:2" ht="29" customHeight="1" thickBot="1" x14ac:dyDescent="0.4">
      <c r="A13" s="40" t="s">
        <v>23</v>
      </c>
      <c r="B13" s="41"/>
    </row>
    <row r="14" spans="1:2" ht="15" thickBot="1" x14ac:dyDescent="0.4">
      <c r="A14" s="3" t="s">
        <v>24</v>
      </c>
      <c r="B14" s="4" t="s">
        <v>25</v>
      </c>
    </row>
    <row r="15" spans="1:2" ht="15" thickBot="1" x14ac:dyDescent="0.4">
      <c r="A15" s="3" t="s">
        <v>26</v>
      </c>
      <c r="B15" s="4" t="s">
        <v>27</v>
      </c>
    </row>
    <row r="16" spans="1:2" ht="15" thickBot="1" x14ac:dyDescent="0.4">
      <c r="A16" s="3" t="s">
        <v>28</v>
      </c>
      <c r="B16" s="4" t="s">
        <v>29</v>
      </c>
    </row>
    <row r="17" spans="1:2" ht="29.5" thickBot="1" x14ac:dyDescent="0.4">
      <c r="A17" s="3" t="s">
        <v>30</v>
      </c>
      <c r="B17" s="4" t="s">
        <v>31</v>
      </c>
    </row>
    <row r="18" spans="1:2" ht="73" thickBot="1" x14ac:dyDescent="0.4">
      <c r="A18" s="3" t="s">
        <v>32</v>
      </c>
      <c r="B18" s="4" t="s">
        <v>33</v>
      </c>
    </row>
    <row r="19" spans="1:2" ht="15" thickBot="1" x14ac:dyDescent="0.4">
      <c r="A19" s="3" t="s">
        <v>34</v>
      </c>
      <c r="B19" s="4" t="s">
        <v>35</v>
      </c>
    </row>
    <row r="20" spans="1:2" ht="73" thickBot="1" x14ac:dyDescent="0.4">
      <c r="A20" s="3" t="s">
        <v>36</v>
      </c>
      <c r="B20" s="4" t="s">
        <v>37</v>
      </c>
    </row>
    <row r="21" spans="1:2" ht="15" thickBot="1" x14ac:dyDescent="0.4">
      <c r="A21" s="3" t="s">
        <v>38</v>
      </c>
      <c r="B21" s="4" t="s">
        <v>39</v>
      </c>
    </row>
    <row r="22" spans="1:2" ht="43.5" x14ac:dyDescent="0.35">
      <c r="A22" s="42" t="s">
        <v>40</v>
      </c>
      <c r="B22" s="5" t="s">
        <v>41</v>
      </c>
    </row>
    <row r="23" spans="1:2" ht="29" x14ac:dyDescent="0.35">
      <c r="A23" s="43"/>
      <c r="B23" s="5" t="s">
        <v>42</v>
      </c>
    </row>
    <row r="24" spans="1:2" ht="29.5" thickBot="1" x14ac:dyDescent="0.4">
      <c r="A24" s="44"/>
      <c r="B24" s="4" t="s">
        <v>43</v>
      </c>
    </row>
    <row r="25" spans="1:2" ht="15" thickBot="1" x14ac:dyDescent="0.4">
      <c r="A25" s="3" t="s">
        <v>44</v>
      </c>
      <c r="B25" s="4" t="s">
        <v>45</v>
      </c>
    </row>
    <row r="26" spans="1:2" ht="44" thickBot="1" x14ac:dyDescent="0.4">
      <c r="A26" s="27" t="s">
        <v>1116</v>
      </c>
      <c r="B26" s="28" t="s">
        <v>1119</v>
      </c>
    </row>
    <row r="27" spans="1:2" ht="44" thickBot="1" x14ac:dyDescent="0.4">
      <c r="A27" s="3" t="s">
        <v>46</v>
      </c>
      <c r="B27" s="4" t="s">
        <v>47</v>
      </c>
    </row>
    <row r="28" spans="1:2" ht="15" thickBot="1" x14ac:dyDescent="0.4">
      <c r="A28" s="3" t="s">
        <v>48</v>
      </c>
      <c r="B28" s="4" t="s">
        <v>49</v>
      </c>
    </row>
    <row r="29" spans="1:2" ht="29.5" thickBot="1" x14ac:dyDescent="0.4">
      <c r="A29" s="3" t="s">
        <v>50</v>
      </c>
      <c r="B29" s="4" t="s">
        <v>51</v>
      </c>
    </row>
    <row r="30" spans="1:2" ht="29.5" thickBot="1" x14ac:dyDescent="0.4">
      <c r="A30" s="3" t="s">
        <v>52</v>
      </c>
      <c r="B30" s="4" t="s">
        <v>53</v>
      </c>
    </row>
    <row r="31" spans="1:2" ht="15" thickBot="1" x14ac:dyDescent="0.4">
      <c r="A31" s="3" t="s">
        <v>54</v>
      </c>
      <c r="B31" s="4" t="s">
        <v>55</v>
      </c>
    </row>
    <row r="32" spans="1:2" ht="58" x14ac:dyDescent="0.35">
      <c r="A32" s="42" t="s">
        <v>56</v>
      </c>
      <c r="B32" s="5" t="s">
        <v>57</v>
      </c>
    </row>
    <row r="33" spans="1:2" x14ac:dyDescent="0.35">
      <c r="A33" s="43"/>
      <c r="B33" s="5"/>
    </row>
    <row r="34" spans="1:2" ht="29.5" thickBot="1" x14ac:dyDescent="0.4">
      <c r="A34" s="44"/>
      <c r="B34" s="4" t="s">
        <v>58</v>
      </c>
    </row>
    <row r="35" spans="1:2" ht="15" thickBot="1" x14ac:dyDescent="0.4">
      <c r="A35" s="3" t="s">
        <v>59</v>
      </c>
      <c r="B35" s="4" t="s">
        <v>60</v>
      </c>
    </row>
    <row r="36" spans="1:2" ht="15" thickBot="1" x14ac:dyDescent="0.4">
      <c r="A36" s="3" t="s">
        <v>61</v>
      </c>
      <c r="B36" s="4" t="s">
        <v>62</v>
      </c>
    </row>
    <row r="37" spans="1:2" ht="15" thickBot="1" x14ac:dyDescent="0.4">
      <c r="A37" s="3" t="s">
        <v>63</v>
      </c>
      <c r="B37" s="4" t="s">
        <v>64</v>
      </c>
    </row>
    <row r="38" spans="1:2" ht="44" thickBot="1" x14ac:dyDescent="0.4">
      <c r="A38" s="3" t="s">
        <v>65</v>
      </c>
      <c r="B38" s="4" t="s">
        <v>66</v>
      </c>
    </row>
    <row r="39" spans="1:2" ht="15" thickBot="1" x14ac:dyDescent="0.4">
      <c r="A39" s="3" t="s">
        <v>67</v>
      </c>
      <c r="B39" s="4" t="s">
        <v>68</v>
      </c>
    </row>
    <row r="40" spans="1:2" ht="29" customHeight="1" thickBot="1" x14ac:dyDescent="0.4">
      <c r="A40" s="40" t="s">
        <v>69</v>
      </c>
      <c r="B40" s="41"/>
    </row>
    <row r="41" spans="1:2" ht="73" thickBot="1" x14ac:dyDescent="0.4">
      <c r="A41" s="3" t="s">
        <v>70</v>
      </c>
      <c r="B41" s="4" t="s">
        <v>71</v>
      </c>
    </row>
    <row r="42" spans="1:2" ht="15" thickBot="1" x14ac:dyDescent="0.4">
      <c r="A42" s="3" t="s">
        <v>72</v>
      </c>
      <c r="B42" s="4" t="s">
        <v>73</v>
      </c>
    </row>
    <row r="43" spans="1:2" ht="44" thickBot="1" x14ac:dyDescent="0.4">
      <c r="A43" s="3" t="s">
        <v>74</v>
      </c>
      <c r="B43" s="4" t="s">
        <v>75</v>
      </c>
    </row>
    <row r="44" spans="1:2" ht="15" thickBot="1" x14ac:dyDescent="0.4">
      <c r="A44" s="3" t="s">
        <v>76</v>
      </c>
      <c r="B44" s="4" t="s">
        <v>77</v>
      </c>
    </row>
    <row r="45" spans="1:2" ht="15" thickBot="1" x14ac:dyDescent="0.4">
      <c r="A45" s="3" t="s">
        <v>78</v>
      </c>
      <c r="B45" s="4" t="s">
        <v>79</v>
      </c>
    </row>
    <row r="46" spans="1:2" ht="15" thickBot="1" x14ac:dyDescent="0.4">
      <c r="A46" s="3" t="s">
        <v>80</v>
      </c>
      <c r="B46" s="4" t="s">
        <v>81</v>
      </c>
    </row>
    <row r="47" spans="1:2" ht="15" thickBot="1" x14ac:dyDescent="0.4">
      <c r="A47" s="3" t="s">
        <v>82</v>
      </c>
      <c r="B47" s="4" t="s">
        <v>83</v>
      </c>
    </row>
    <row r="48" spans="1:2" ht="15" thickBot="1" x14ac:dyDescent="0.4">
      <c r="A48" s="3" t="s">
        <v>84</v>
      </c>
      <c r="B48" s="4" t="s">
        <v>85</v>
      </c>
    </row>
    <row r="49" spans="1:2" ht="102" thickBot="1" x14ac:dyDescent="0.4">
      <c r="A49" s="37" t="s">
        <v>1103</v>
      </c>
      <c r="B49" s="28" t="s">
        <v>1102</v>
      </c>
    </row>
    <row r="50" spans="1:2" ht="15" thickBot="1" x14ac:dyDescent="0.4">
      <c r="A50" s="3" t="s">
        <v>86</v>
      </c>
      <c r="B50" s="4" t="s">
        <v>87</v>
      </c>
    </row>
    <row r="51" spans="1:2" ht="15" thickBot="1" x14ac:dyDescent="0.4">
      <c r="A51" s="3" t="s">
        <v>88</v>
      </c>
      <c r="B51" s="4" t="s">
        <v>1092</v>
      </c>
    </row>
    <row r="52" spans="1:2" ht="15" thickBot="1" x14ac:dyDescent="0.4">
      <c r="A52" s="3" t="s">
        <v>89</v>
      </c>
      <c r="B52" s="4" t="s">
        <v>90</v>
      </c>
    </row>
    <row r="53" spans="1:2" ht="102" thickBot="1" x14ac:dyDescent="0.4">
      <c r="A53" s="27" t="s">
        <v>1091</v>
      </c>
      <c r="B53" s="28" t="s">
        <v>1114</v>
      </c>
    </row>
    <row r="54" spans="1:2" ht="15" thickBot="1" x14ac:dyDescent="0.4">
      <c r="A54" s="3" t="s">
        <v>91</v>
      </c>
      <c r="B54" s="4" t="s">
        <v>92</v>
      </c>
    </row>
    <row r="55" spans="1:2" ht="15" thickBot="1" x14ac:dyDescent="0.4">
      <c r="A55" s="3" t="s">
        <v>93</v>
      </c>
      <c r="B55" s="4" t="s">
        <v>94</v>
      </c>
    </row>
    <row r="56" spans="1:2" ht="29.5" thickBot="1" x14ac:dyDescent="0.4">
      <c r="A56" s="27" t="s">
        <v>1083</v>
      </c>
      <c r="B56" s="28" t="s">
        <v>1084</v>
      </c>
    </row>
    <row r="57" spans="1:2" ht="29.5" thickBot="1" x14ac:dyDescent="0.4">
      <c r="A57" s="3" t="s">
        <v>95</v>
      </c>
      <c r="B57" s="4" t="s">
        <v>96</v>
      </c>
    </row>
    <row r="58" spans="1:2" ht="15" thickBot="1" x14ac:dyDescent="0.4">
      <c r="A58" s="3" t="s">
        <v>97</v>
      </c>
      <c r="B58" s="4" t="s">
        <v>98</v>
      </c>
    </row>
    <row r="59" spans="1:2" ht="15" thickBot="1" x14ac:dyDescent="0.4">
      <c r="A59" s="3" t="s">
        <v>99</v>
      </c>
      <c r="B59" s="4" t="s">
        <v>100</v>
      </c>
    </row>
    <row r="60" spans="1:2" ht="15" thickBot="1" x14ac:dyDescent="0.4">
      <c r="A60" s="3" t="s">
        <v>101</v>
      </c>
      <c r="B60" s="4" t="s">
        <v>94</v>
      </c>
    </row>
    <row r="61" spans="1:2" ht="87.5" thickBot="1" x14ac:dyDescent="0.4">
      <c r="A61" s="27" t="s">
        <v>1085</v>
      </c>
      <c r="B61" s="28" t="s">
        <v>1086</v>
      </c>
    </row>
    <row r="62" spans="1:2" ht="29" customHeight="1" thickBot="1" x14ac:dyDescent="0.4">
      <c r="A62" s="40" t="s">
        <v>102</v>
      </c>
      <c r="B62" s="41"/>
    </row>
    <row r="63" spans="1:2" ht="87.5" thickBot="1" x14ac:dyDescent="0.4">
      <c r="A63" s="3" t="s">
        <v>103</v>
      </c>
      <c r="B63" s="4" t="s">
        <v>104</v>
      </c>
    </row>
    <row r="64" spans="1:2" ht="44" thickBot="1" x14ac:dyDescent="0.4">
      <c r="A64" s="3" t="s">
        <v>105</v>
      </c>
      <c r="B64" s="4" t="s">
        <v>106</v>
      </c>
    </row>
    <row r="65" spans="1:8" ht="15" thickBot="1" x14ac:dyDescent="0.4">
      <c r="A65" s="3" t="s">
        <v>107</v>
      </c>
      <c r="B65" s="4" t="s">
        <v>108</v>
      </c>
    </row>
    <row r="66" spans="1:8" ht="29.5" thickBot="1" x14ac:dyDescent="0.4">
      <c r="A66" s="3" t="s">
        <v>109</v>
      </c>
      <c r="B66" s="4" t="s">
        <v>110</v>
      </c>
    </row>
    <row r="67" spans="1:8" ht="29.5" thickBot="1" x14ac:dyDescent="0.4">
      <c r="A67" s="3" t="s">
        <v>111</v>
      </c>
      <c r="B67" s="4" t="s">
        <v>112</v>
      </c>
    </row>
    <row r="68" spans="1:8" ht="29.5" thickBot="1" x14ac:dyDescent="0.4">
      <c r="A68" s="3" t="s">
        <v>113</v>
      </c>
      <c r="B68" s="4" t="s">
        <v>114</v>
      </c>
    </row>
    <row r="69" spans="1:8" ht="29.5" thickBot="1" x14ac:dyDescent="0.4">
      <c r="A69" s="3" t="s">
        <v>115</v>
      </c>
      <c r="B69" s="4" t="s">
        <v>116</v>
      </c>
    </row>
    <row r="70" spans="1:8" ht="58.5" thickBot="1" x14ac:dyDescent="0.4">
      <c r="A70" s="39" t="s">
        <v>1120</v>
      </c>
      <c r="B70" s="28" t="s">
        <v>1124</v>
      </c>
    </row>
    <row r="71" spans="1:8" ht="44" thickBot="1" x14ac:dyDescent="0.4">
      <c r="A71" s="3" t="s">
        <v>117</v>
      </c>
      <c r="B71" s="4" t="s">
        <v>118</v>
      </c>
      <c r="H71" t="s">
        <v>1122</v>
      </c>
    </row>
    <row r="72" spans="1:8" ht="29.5" thickBot="1" x14ac:dyDescent="0.4">
      <c r="A72" s="3" t="s">
        <v>119</v>
      </c>
      <c r="B72" s="4" t="s">
        <v>120</v>
      </c>
    </row>
    <row r="73" spans="1:8" ht="15" thickBot="1" x14ac:dyDescent="0.4">
      <c r="A73" s="3" t="s">
        <v>121</v>
      </c>
      <c r="B73" s="4" t="s">
        <v>122</v>
      </c>
    </row>
    <row r="74" spans="1:8" ht="15" thickBot="1" x14ac:dyDescent="0.4">
      <c r="A74" s="3" t="s">
        <v>15</v>
      </c>
      <c r="B74" s="4" t="s">
        <v>123</v>
      </c>
    </row>
    <row r="75" spans="1:8" ht="29.5" thickBot="1" x14ac:dyDescent="0.4">
      <c r="A75" s="3" t="s">
        <v>124</v>
      </c>
      <c r="B75" s="4" t="s">
        <v>125</v>
      </c>
    </row>
    <row r="76" spans="1:8" ht="44" thickBot="1" x14ac:dyDescent="0.4">
      <c r="A76" s="3" t="s">
        <v>126</v>
      </c>
      <c r="B76" s="4" t="s">
        <v>127</v>
      </c>
    </row>
    <row r="77" spans="1:8" ht="15" thickBot="1" x14ac:dyDescent="0.4">
      <c r="A77" s="3" t="s">
        <v>128</v>
      </c>
      <c r="B77" s="4" t="s">
        <v>129</v>
      </c>
    </row>
    <row r="78" spans="1:8" ht="15" thickBot="1" x14ac:dyDescent="0.4">
      <c r="A78" s="3" t="s">
        <v>130</v>
      </c>
      <c r="B78" s="4" t="s">
        <v>131</v>
      </c>
    </row>
    <row r="79" spans="1:8" ht="15" thickBot="1" x14ac:dyDescent="0.4">
      <c r="A79" s="3" t="s">
        <v>132</v>
      </c>
      <c r="B79" s="4" t="s">
        <v>133</v>
      </c>
    </row>
    <row r="80" spans="1:8" ht="15" thickBot="1" x14ac:dyDescent="0.4">
      <c r="A80" s="3" t="s">
        <v>134</v>
      </c>
      <c r="B80" s="4" t="s">
        <v>135</v>
      </c>
    </row>
    <row r="81" spans="1:2" ht="15" thickBot="1" x14ac:dyDescent="0.4">
      <c r="A81" s="3" t="s">
        <v>136</v>
      </c>
      <c r="B81" s="4" t="s">
        <v>137</v>
      </c>
    </row>
    <row r="82" spans="1:2" ht="15" thickBot="1" x14ac:dyDescent="0.4">
      <c r="A82" s="3" t="s">
        <v>138</v>
      </c>
      <c r="B82" s="4" t="s">
        <v>139</v>
      </c>
    </row>
    <row r="83" spans="1:2" ht="29.5" thickBot="1" x14ac:dyDescent="0.4">
      <c r="A83" s="3" t="s">
        <v>140</v>
      </c>
      <c r="B83" s="4" t="s">
        <v>141</v>
      </c>
    </row>
    <row r="84" spans="1:2" ht="15" thickBot="1" x14ac:dyDescent="0.4">
      <c r="A84" s="3" t="s">
        <v>142</v>
      </c>
      <c r="B84" s="4" t="s">
        <v>143</v>
      </c>
    </row>
    <row r="85" spans="1:2" ht="15" thickBot="1" x14ac:dyDescent="0.4">
      <c r="A85" s="3" t="s">
        <v>144</v>
      </c>
      <c r="B85" s="4" t="s">
        <v>145</v>
      </c>
    </row>
    <row r="86" spans="1:2" ht="15" thickBot="1" x14ac:dyDescent="0.4">
      <c r="A86" s="3" t="s">
        <v>146</v>
      </c>
      <c r="B86" s="4" t="s">
        <v>147</v>
      </c>
    </row>
    <row r="87" spans="1:2" ht="29.5" thickBot="1" x14ac:dyDescent="0.4">
      <c r="A87" s="3" t="s">
        <v>148</v>
      </c>
      <c r="B87" s="4" t="s">
        <v>149</v>
      </c>
    </row>
    <row r="88" spans="1:2" ht="15" thickBot="1" x14ac:dyDescent="0.4">
      <c r="A88" s="3" t="s">
        <v>150</v>
      </c>
      <c r="B88" s="4" t="s">
        <v>151</v>
      </c>
    </row>
    <row r="89" spans="1:2" ht="15" thickBot="1" x14ac:dyDescent="0.4">
      <c r="A89" s="40" t="s">
        <v>152</v>
      </c>
      <c r="B89" s="41"/>
    </row>
    <row r="90" spans="1:2" ht="44" thickBot="1" x14ac:dyDescent="0.4">
      <c r="A90" s="3" t="s">
        <v>153</v>
      </c>
      <c r="B90" s="4" t="s">
        <v>154</v>
      </c>
    </row>
    <row r="91" spans="1:2" ht="15" thickBot="1" x14ac:dyDescent="0.4">
      <c r="A91" s="3" t="s">
        <v>155</v>
      </c>
      <c r="B91" s="4" t="s">
        <v>156</v>
      </c>
    </row>
    <row r="92" spans="1:2" ht="29.5" thickBot="1" x14ac:dyDescent="0.4">
      <c r="A92" s="3" t="s">
        <v>157</v>
      </c>
      <c r="B92" s="4" t="s">
        <v>158</v>
      </c>
    </row>
    <row r="93" spans="1:2" ht="29.5" thickBot="1" x14ac:dyDescent="0.4">
      <c r="A93" s="3" t="s">
        <v>159</v>
      </c>
      <c r="B93" s="4" t="s">
        <v>160</v>
      </c>
    </row>
    <row r="94" spans="1:2" ht="29.5" thickBot="1" x14ac:dyDescent="0.4">
      <c r="A94" s="3" t="s">
        <v>161</v>
      </c>
      <c r="B94" s="4" t="s">
        <v>162</v>
      </c>
    </row>
    <row r="95" spans="1:2" ht="29.5" thickBot="1" x14ac:dyDescent="0.4">
      <c r="A95" s="3" t="s">
        <v>163</v>
      </c>
      <c r="B95" s="4" t="s">
        <v>164</v>
      </c>
    </row>
    <row r="96" spans="1:2" ht="15" thickBot="1" x14ac:dyDescent="0.4">
      <c r="A96" s="3" t="s">
        <v>165</v>
      </c>
      <c r="B96" s="4" t="s">
        <v>166</v>
      </c>
    </row>
    <row r="97" spans="1:2" ht="44" thickBot="1" x14ac:dyDescent="0.4">
      <c r="A97" s="3" t="s">
        <v>167</v>
      </c>
      <c r="B97" s="4" t="s">
        <v>168</v>
      </c>
    </row>
    <row r="98" spans="1:2" ht="15" thickBot="1" x14ac:dyDescent="0.4">
      <c r="A98" s="3" t="s">
        <v>169</v>
      </c>
      <c r="B98" s="4" t="s">
        <v>170</v>
      </c>
    </row>
    <row r="99" spans="1:2" ht="43.5" x14ac:dyDescent="0.35">
      <c r="A99" s="32" t="s">
        <v>1087</v>
      </c>
      <c r="B99" s="33" t="s">
        <v>1093</v>
      </c>
    </row>
    <row r="100" spans="1:2" x14ac:dyDescent="0.35">
      <c r="A100" s="38" t="s">
        <v>1121</v>
      </c>
      <c r="B100" t="s">
        <v>1123</v>
      </c>
    </row>
    <row r="104" spans="1:2" x14ac:dyDescent="0.35">
      <c r="B104" s="36"/>
    </row>
  </sheetData>
  <mergeCells count="7">
    <mergeCell ref="A89:B89"/>
    <mergeCell ref="A2:B2"/>
    <mergeCell ref="A13:B13"/>
    <mergeCell ref="A22:A24"/>
    <mergeCell ref="A32:A34"/>
    <mergeCell ref="A40:B40"/>
    <mergeCell ref="A62:B6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0492-E436-439A-88B9-D72064907446}">
  <sheetPr filterMode="1"/>
  <dimension ref="A1:CL300"/>
  <sheetViews>
    <sheetView tabSelected="1" topLeftCell="AO1" workbookViewId="0">
      <selection activeCell="BN1" sqref="BN1"/>
    </sheetView>
  </sheetViews>
  <sheetFormatPr defaultColWidth="20.6328125" defaultRowHeight="14.5" x14ac:dyDescent="0.35"/>
  <cols>
    <col min="1" max="1" width="5.81640625" bestFit="1" customWidth="1"/>
    <col min="2" max="2" width="24.08984375" customWidth="1"/>
    <col min="3" max="3" width="4" bestFit="1" customWidth="1"/>
    <col min="4" max="4" width="32.1796875" customWidth="1"/>
    <col min="5" max="5" width="39.453125" customWidth="1"/>
    <col min="6" max="6" width="5.6328125" bestFit="1" customWidth="1"/>
    <col min="7" max="7" width="5.81640625" bestFit="1" customWidth="1"/>
    <col min="8" max="8" width="9.1796875" bestFit="1" customWidth="1"/>
    <col min="9" max="9" width="11.81640625" bestFit="1" customWidth="1"/>
    <col min="10" max="10" width="15" bestFit="1" customWidth="1"/>
    <col min="11" max="11" width="18.1796875" customWidth="1"/>
    <col min="12" max="12" width="16.1796875" bestFit="1" customWidth="1"/>
    <col min="13" max="13" width="12.1796875" customWidth="1"/>
    <col min="14" max="14" width="7.81640625" customWidth="1"/>
    <col min="15" max="15" width="18.36328125" bestFit="1" customWidth="1"/>
    <col min="16" max="16" width="24.453125" bestFit="1" customWidth="1"/>
    <col min="17" max="17" width="16.36328125" bestFit="1" customWidth="1"/>
    <col min="18" max="18" width="22.54296875" bestFit="1" customWidth="1"/>
    <col min="19" max="19" width="25" customWidth="1"/>
    <col min="20" max="20" width="25.81640625" bestFit="1" customWidth="1"/>
    <col min="21" max="21" width="25.81640625" customWidth="1"/>
    <col min="22" max="22" width="23.36328125" bestFit="1" customWidth="1"/>
    <col min="23" max="23" width="28.81640625" bestFit="1" customWidth="1"/>
    <col min="24" max="24" width="17.54296875" bestFit="1" customWidth="1"/>
    <col min="25" max="25" width="32.1796875" customWidth="1"/>
    <col min="26" max="26" width="24.81640625" bestFit="1" customWidth="1"/>
    <col min="27" max="27" width="28.1796875" bestFit="1" customWidth="1"/>
    <col min="28" max="28" width="35" bestFit="1" customWidth="1"/>
    <col min="29" max="29" width="27.6328125" bestFit="1" customWidth="1"/>
    <col min="30" max="30" width="33.81640625" bestFit="1" customWidth="1"/>
    <col min="31" max="31" width="24.08984375" bestFit="1" customWidth="1"/>
    <col min="32" max="32" width="30.1796875" bestFit="1" customWidth="1"/>
    <col min="33" max="33" width="15" bestFit="1" customWidth="1"/>
    <col min="34" max="34" width="12.90625" bestFit="1" customWidth="1"/>
    <col min="35" max="35" width="14.1796875" bestFit="1" customWidth="1"/>
    <col min="36" max="36" width="20.36328125" bestFit="1" customWidth="1"/>
    <col min="37" max="37" width="17.81640625" bestFit="1" customWidth="1"/>
    <col min="38" max="38" width="15" bestFit="1" customWidth="1"/>
    <col min="39" max="39" width="14.1796875" bestFit="1" customWidth="1"/>
    <col min="40" max="40" width="20.1796875" bestFit="1" customWidth="1"/>
    <col min="41" max="41" width="29" customWidth="1"/>
    <col min="42" max="42" width="12.453125" bestFit="1" customWidth="1"/>
    <col min="43" max="43" width="10.81640625" bestFit="1" customWidth="1"/>
    <col min="44" max="44" width="39.81640625" customWidth="1"/>
    <col min="45" max="45" width="40.1796875" customWidth="1"/>
    <col min="46" max="46" width="8.90625" bestFit="1" customWidth="1"/>
    <col min="47" max="47" width="26.54296875" customWidth="1"/>
    <col min="48" max="48" width="20.90625" style="30" customWidth="1"/>
    <col min="49" max="49" width="17.90625" bestFit="1" customWidth="1"/>
    <col min="50" max="50" width="20.90625" customWidth="1"/>
    <col min="51" max="51" width="13.54296875" bestFit="1" customWidth="1"/>
    <col min="52" max="52" width="17.81640625" bestFit="1" customWidth="1"/>
    <col min="53" max="53" width="17.81640625" customWidth="1"/>
    <col min="54" max="54" width="14.08984375" bestFit="1" customWidth="1"/>
    <col min="55" max="55" width="29.453125" customWidth="1"/>
    <col min="56" max="56" width="17" bestFit="1" customWidth="1"/>
    <col min="57" max="57" width="20.36328125" bestFit="1" customWidth="1"/>
    <col min="58" max="58" width="10.1796875" bestFit="1" customWidth="1"/>
    <col min="59" max="59" width="10.54296875" bestFit="1" customWidth="1"/>
    <col min="60" max="60" width="19.81640625" bestFit="1" customWidth="1"/>
    <col min="61" max="61" width="19.81640625" customWidth="1"/>
    <col min="62" max="62" width="12.08984375" bestFit="1" customWidth="1"/>
    <col min="63" max="63" width="29.81640625" customWidth="1"/>
    <col min="64" max="64" width="24.6328125" customWidth="1"/>
    <col min="65" max="65" width="23.1796875" customWidth="1"/>
    <col min="66" max="66" width="42.453125" customWidth="1"/>
    <col min="67" max="67" width="13.54296875" bestFit="1" customWidth="1"/>
    <col min="68" max="68" width="28.1796875" customWidth="1"/>
    <col min="69" max="69" width="5.36328125" bestFit="1" customWidth="1"/>
    <col min="70" max="70" width="5.08984375" bestFit="1" customWidth="1"/>
    <col min="71" max="71" width="9.36328125" bestFit="1" customWidth="1"/>
    <col min="72" max="73" width="8.36328125" bestFit="1" customWidth="1"/>
    <col min="74" max="74" width="4.81640625" bestFit="1" customWidth="1"/>
    <col min="75" max="75" width="9.36328125" bestFit="1" customWidth="1"/>
    <col min="76" max="77" width="8.36328125" bestFit="1" customWidth="1"/>
    <col min="78" max="78" width="5.81640625" bestFit="1" customWidth="1"/>
    <col min="79" max="79" width="14.08984375" bestFit="1" customWidth="1"/>
    <col min="80" max="80" width="13.81640625" bestFit="1" customWidth="1"/>
    <col min="81" max="81" width="19.81640625" bestFit="1" customWidth="1"/>
    <col min="82" max="82" width="12.54296875" bestFit="1" customWidth="1"/>
    <col min="83" max="83" width="19.1796875" bestFit="1" customWidth="1"/>
    <col min="84" max="84" width="17.81640625" bestFit="1" customWidth="1"/>
    <col min="85" max="85" width="13.1796875" bestFit="1" customWidth="1"/>
    <col min="86" max="86" width="19.36328125" bestFit="1" customWidth="1"/>
    <col min="87" max="87" width="23.1796875" bestFit="1" customWidth="1"/>
    <col min="88" max="88" width="17.6328125" customWidth="1"/>
    <col min="89" max="89" width="20.6328125" style="30"/>
  </cols>
  <sheetData>
    <row r="1" spans="1:90" ht="42.5" customHeight="1" thickBot="1" x14ac:dyDescent="0.4">
      <c r="A1" s="23" t="s">
        <v>3</v>
      </c>
      <c r="B1" s="23" t="s">
        <v>5</v>
      </c>
      <c r="C1" s="23" t="s">
        <v>7</v>
      </c>
      <c r="D1" s="23" t="s">
        <v>9</v>
      </c>
      <c r="E1" s="23" t="s">
        <v>11</v>
      </c>
      <c r="F1" s="23" t="s">
        <v>13</v>
      </c>
      <c r="G1" s="23" t="s">
        <v>15</v>
      </c>
      <c r="H1" s="23" t="s">
        <v>17</v>
      </c>
      <c r="I1" s="23" t="s">
        <v>19</v>
      </c>
      <c r="J1" s="23" t="s">
        <v>21</v>
      </c>
      <c r="K1" s="23" t="s">
        <v>24</v>
      </c>
      <c r="L1" s="23" t="s">
        <v>26</v>
      </c>
      <c r="M1" s="23" t="s">
        <v>28</v>
      </c>
      <c r="N1" s="23" t="s">
        <v>30</v>
      </c>
      <c r="O1" s="23" t="s">
        <v>32</v>
      </c>
      <c r="P1" s="23" t="s">
        <v>34</v>
      </c>
      <c r="Q1" s="23" t="s">
        <v>36</v>
      </c>
      <c r="R1" s="23" t="s">
        <v>38</v>
      </c>
      <c r="S1" s="24" t="s">
        <v>40</v>
      </c>
      <c r="T1" s="23" t="s">
        <v>44</v>
      </c>
      <c r="U1" s="23" t="s">
        <v>1116</v>
      </c>
      <c r="V1" s="23" t="s">
        <v>46</v>
      </c>
      <c r="W1" s="23" t="s">
        <v>48</v>
      </c>
      <c r="X1" s="23" t="s">
        <v>50</v>
      </c>
      <c r="Y1" s="23" t="s">
        <v>52</v>
      </c>
      <c r="Z1" s="23" t="s">
        <v>54</v>
      </c>
      <c r="AA1" s="24" t="s">
        <v>56</v>
      </c>
      <c r="AB1" s="23" t="s">
        <v>59</v>
      </c>
      <c r="AC1" s="23" t="s">
        <v>61</v>
      </c>
      <c r="AD1" s="23" t="s">
        <v>63</v>
      </c>
      <c r="AE1" s="23" t="s">
        <v>65</v>
      </c>
      <c r="AF1" s="23" t="s">
        <v>67</v>
      </c>
      <c r="AG1" s="23" t="s">
        <v>70</v>
      </c>
      <c r="AH1" s="23" t="s">
        <v>72</v>
      </c>
      <c r="AI1" s="23" t="s">
        <v>74</v>
      </c>
      <c r="AJ1" s="23" t="s">
        <v>76</v>
      </c>
      <c r="AK1" s="23" t="s">
        <v>78</v>
      </c>
      <c r="AL1" s="23" t="s">
        <v>80</v>
      </c>
      <c r="AM1" s="23" t="s">
        <v>82</v>
      </c>
      <c r="AN1" s="23" t="s">
        <v>84</v>
      </c>
      <c r="AO1" s="23" t="s">
        <v>1115</v>
      </c>
      <c r="AP1" s="23" t="s">
        <v>86</v>
      </c>
      <c r="AQ1" s="23" t="s">
        <v>88</v>
      </c>
      <c r="AR1" s="23" t="s">
        <v>89</v>
      </c>
      <c r="AS1" s="23" t="s">
        <v>1091</v>
      </c>
      <c r="AT1" s="25" t="s">
        <v>91</v>
      </c>
      <c r="AU1" s="23" t="s">
        <v>93</v>
      </c>
      <c r="AV1" s="29" t="s">
        <v>1083</v>
      </c>
      <c r="AW1" s="23" t="s">
        <v>95</v>
      </c>
      <c r="AX1" s="23" t="s">
        <v>97</v>
      </c>
      <c r="AY1" s="23" t="s">
        <v>99</v>
      </c>
      <c r="AZ1" s="23" t="s">
        <v>101</v>
      </c>
      <c r="BA1" s="23" t="s">
        <v>1085</v>
      </c>
      <c r="BB1" s="23" t="s">
        <v>103</v>
      </c>
      <c r="BC1" s="23" t="s">
        <v>105</v>
      </c>
      <c r="BD1" s="23" t="s">
        <v>107</v>
      </c>
      <c r="BE1" s="23" t="s">
        <v>109</v>
      </c>
      <c r="BF1" s="23" t="s">
        <v>111</v>
      </c>
      <c r="BG1" s="23" t="s">
        <v>113</v>
      </c>
      <c r="BH1" s="23" t="s">
        <v>115</v>
      </c>
      <c r="BI1" s="23" t="s">
        <v>1120</v>
      </c>
      <c r="BJ1" s="23" t="s">
        <v>117</v>
      </c>
      <c r="BK1" s="23" t="s">
        <v>119</v>
      </c>
      <c r="BL1" s="23" t="s">
        <v>121</v>
      </c>
      <c r="BM1" s="23" t="s">
        <v>15</v>
      </c>
      <c r="BN1" s="23" t="s">
        <v>124</v>
      </c>
      <c r="BO1" s="23" t="s">
        <v>126</v>
      </c>
      <c r="BP1" s="23" t="s">
        <v>128</v>
      </c>
      <c r="BQ1" s="23" t="s">
        <v>130</v>
      </c>
      <c r="BR1" s="23" t="s">
        <v>132</v>
      </c>
      <c r="BS1" s="23" t="s">
        <v>134</v>
      </c>
      <c r="BT1" s="23" t="s">
        <v>136</v>
      </c>
      <c r="BU1" s="23" t="s">
        <v>138</v>
      </c>
      <c r="BV1" s="23" t="s">
        <v>140</v>
      </c>
      <c r="BW1" s="23" t="s">
        <v>142</v>
      </c>
      <c r="BX1" s="23" t="s">
        <v>144</v>
      </c>
      <c r="BY1" s="23" t="s">
        <v>146</v>
      </c>
      <c r="BZ1" s="23" t="s">
        <v>148</v>
      </c>
      <c r="CA1" s="23" t="s">
        <v>150</v>
      </c>
      <c r="CB1" s="23" t="s">
        <v>153</v>
      </c>
      <c r="CC1" s="23" t="s">
        <v>155</v>
      </c>
      <c r="CD1" s="23" t="s">
        <v>157</v>
      </c>
      <c r="CE1" s="23" t="s">
        <v>159</v>
      </c>
      <c r="CF1" s="23" t="s">
        <v>161</v>
      </c>
      <c r="CG1" s="23" t="s">
        <v>163</v>
      </c>
      <c r="CH1" s="23" t="s">
        <v>165</v>
      </c>
      <c r="CI1" s="23" t="s">
        <v>167</v>
      </c>
      <c r="CJ1" s="23" t="s">
        <v>169</v>
      </c>
      <c r="CK1" s="34" t="s">
        <v>1088</v>
      </c>
      <c r="CL1" s="38" t="s">
        <v>1121</v>
      </c>
    </row>
    <row r="2" spans="1:90" hidden="1" x14ac:dyDescent="0.35">
      <c r="A2" t="s">
        <v>325</v>
      </c>
      <c r="B2" t="s">
        <v>171</v>
      </c>
      <c r="C2" t="s">
        <v>172</v>
      </c>
      <c r="D2" t="s">
        <v>173</v>
      </c>
      <c r="E2" t="s">
        <v>174</v>
      </c>
      <c r="F2">
        <v>2025</v>
      </c>
      <c r="G2" t="s">
        <v>175</v>
      </c>
      <c r="I2" t="s">
        <v>176</v>
      </c>
      <c r="K2" t="s">
        <v>178</v>
      </c>
      <c r="L2" t="s">
        <v>177</v>
      </c>
      <c r="M2" t="s">
        <v>1125</v>
      </c>
      <c r="N2" t="s">
        <v>179</v>
      </c>
      <c r="O2" t="s">
        <v>187</v>
      </c>
      <c r="Q2" t="s">
        <v>187</v>
      </c>
      <c r="S2" t="s">
        <v>194</v>
      </c>
      <c r="U2" t="s">
        <v>1117</v>
      </c>
      <c r="V2" t="s">
        <v>267</v>
      </c>
      <c r="W2" t="s">
        <v>317</v>
      </c>
      <c r="X2" t="s">
        <v>270</v>
      </c>
      <c r="Y2" t="s">
        <v>227</v>
      </c>
      <c r="AA2" t="s">
        <v>187</v>
      </c>
      <c r="AC2" t="s">
        <v>310</v>
      </c>
      <c r="AE2" t="s">
        <v>273</v>
      </c>
      <c r="AG2" t="s">
        <v>275</v>
      </c>
      <c r="AI2" t="s">
        <v>345</v>
      </c>
      <c r="AK2">
        <v>1</v>
      </c>
      <c r="AM2">
        <v>21</v>
      </c>
      <c r="AO2" t="s">
        <v>1105</v>
      </c>
      <c r="AP2" t="s">
        <v>280</v>
      </c>
      <c r="AQ2" t="s">
        <v>283</v>
      </c>
      <c r="AR2" t="s">
        <v>312</v>
      </c>
      <c r="AS2" t="s">
        <v>1098</v>
      </c>
      <c r="AT2" t="s">
        <v>313</v>
      </c>
      <c r="AU2" t="s">
        <v>191</v>
      </c>
      <c r="AV2" s="30">
        <v>1</v>
      </c>
      <c r="AW2" t="s">
        <v>287</v>
      </c>
      <c r="AX2" t="s">
        <v>191</v>
      </c>
      <c r="AZ2" t="s">
        <v>829</v>
      </c>
      <c r="BA2">
        <v>0</v>
      </c>
      <c r="BB2" t="s">
        <v>289</v>
      </c>
      <c r="BC2" t="s">
        <v>239</v>
      </c>
      <c r="BE2" t="s">
        <v>314</v>
      </c>
      <c r="BF2" t="s">
        <v>294</v>
      </c>
      <c r="BG2" t="s">
        <v>300</v>
      </c>
      <c r="BH2" t="s">
        <v>191</v>
      </c>
      <c r="BI2">
        <v>0</v>
      </c>
      <c r="BJ2" t="s">
        <v>315</v>
      </c>
      <c r="BK2" t="s">
        <v>316</v>
      </c>
      <c r="BL2" t="s">
        <v>319</v>
      </c>
      <c r="BM2" t="s">
        <v>318</v>
      </c>
      <c r="BN2" t="str">
        <f t="shared" ref="BN2:BN32" si="0">_xlfn.CONCAT(BL2:BM2)</f>
        <v>CUMS_CUMS+MUSIC</v>
      </c>
      <c r="BO2" t="s">
        <v>267</v>
      </c>
      <c r="BP2" t="s">
        <v>320</v>
      </c>
      <c r="BQ2">
        <v>8</v>
      </c>
      <c r="BR2">
        <v>8</v>
      </c>
      <c r="BS2" s="35">
        <v>0</v>
      </c>
      <c r="BT2" s="35">
        <v>0</v>
      </c>
      <c r="BU2" s="35">
        <v>0</v>
      </c>
      <c r="BV2" s="35"/>
      <c r="BW2" s="35">
        <v>2.0021857920000001</v>
      </c>
      <c r="BX2" s="35">
        <v>0.37158469900000002</v>
      </c>
      <c r="BY2" s="35">
        <v>1.0510002430000001</v>
      </c>
      <c r="CB2" t="s">
        <v>268</v>
      </c>
      <c r="CD2" t="s">
        <v>268</v>
      </c>
      <c r="CE2" t="s">
        <v>267</v>
      </c>
      <c r="CF2" t="s">
        <v>309</v>
      </c>
      <c r="CG2" t="s">
        <v>268</v>
      </c>
      <c r="CI2" t="s">
        <v>268</v>
      </c>
      <c r="CK2" s="30">
        <f>(CB2="Yes")+(CD2="Yes")+(CE2="Yes")+(CI2="No")</f>
        <v>2</v>
      </c>
      <c r="CL2">
        <f>CK2+AV2+BA2+BI2</f>
        <v>3</v>
      </c>
    </row>
    <row r="3" spans="1:90" hidden="1" x14ac:dyDescent="0.35">
      <c r="A3" t="s">
        <v>326</v>
      </c>
      <c r="B3" t="s">
        <v>171</v>
      </c>
      <c r="C3" t="s">
        <v>172</v>
      </c>
      <c r="D3" t="s">
        <v>173</v>
      </c>
      <c r="E3" t="s">
        <v>174</v>
      </c>
      <c r="F3">
        <v>2025</v>
      </c>
      <c r="G3" t="s">
        <v>175</v>
      </c>
      <c r="I3" t="s">
        <v>331</v>
      </c>
      <c r="K3" t="s">
        <v>178</v>
      </c>
      <c r="L3" t="s">
        <v>177</v>
      </c>
      <c r="M3" t="s">
        <v>1125</v>
      </c>
      <c r="N3" t="s">
        <v>179</v>
      </c>
      <c r="O3" t="s">
        <v>187</v>
      </c>
      <c r="Q3" t="s">
        <v>187</v>
      </c>
      <c r="S3" t="s">
        <v>194</v>
      </c>
      <c r="U3" t="s">
        <v>1117</v>
      </c>
      <c r="V3" t="s">
        <v>267</v>
      </c>
      <c r="W3" t="s">
        <v>317</v>
      </c>
      <c r="X3" t="s">
        <v>270</v>
      </c>
      <c r="Y3" t="s">
        <v>227</v>
      </c>
      <c r="AA3" t="s">
        <v>187</v>
      </c>
      <c r="AC3" t="s">
        <v>310</v>
      </c>
      <c r="AE3" t="s">
        <v>273</v>
      </c>
      <c r="AG3" t="s">
        <v>275</v>
      </c>
      <c r="AI3" t="s">
        <v>345</v>
      </c>
      <c r="AK3">
        <v>1</v>
      </c>
      <c r="AM3">
        <v>21</v>
      </c>
      <c r="AO3" t="s">
        <v>1105</v>
      </c>
      <c r="AP3" t="s">
        <v>280</v>
      </c>
      <c r="AQ3" t="s">
        <v>283</v>
      </c>
      <c r="AR3" t="s">
        <v>312</v>
      </c>
      <c r="AS3" t="s">
        <v>1098</v>
      </c>
      <c r="AT3" t="s">
        <v>313</v>
      </c>
      <c r="AU3" t="s">
        <v>191</v>
      </c>
      <c r="AV3" s="30">
        <v>1</v>
      </c>
      <c r="AW3" t="s">
        <v>287</v>
      </c>
      <c r="AX3" t="s">
        <v>191</v>
      </c>
      <c r="AZ3" t="s">
        <v>829</v>
      </c>
      <c r="BA3">
        <v>0</v>
      </c>
      <c r="BB3" t="s">
        <v>289</v>
      </c>
      <c r="BC3" t="s">
        <v>239</v>
      </c>
      <c r="BE3" t="s">
        <v>321</v>
      </c>
      <c r="BF3" t="s">
        <v>294</v>
      </c>
      <c r="BG3" t="s">
        <v>300</v>
      </c>
      <c r="BH3" t="s">
        <v>191</v>
      </c>
      <c r="BI3">
        <v>0</v>
      </c>
      <c r="BJ3" t="s">
        <v>315</v>
      </c>
      <c r="BK3" t="s">
        <v>323</v>
      </c>
      <c r="BL3" t="s">
        <v>319</v>
      </c>
      <c r="BM3" t="s">
        <v>318</v>
      </c>
      <c r="BN3" t="str">
        <f t="shared" si="0"/>
        <v>CUMS_CUMS+MUSIC</v>
      </c>
      <c r="BO3" t="s">
        <v>268</v>
      </c>
      <c r="BQ3">
        <v>8</v>
      </c>
      <c r="BR3">
        <v>8</v>
      </c>
      <c r="BS3" s="35">
        <v>5.0178571429999996</v>
      </c>
      <c r="BT3" s="35">
        <v>1.5982142859999999</v>
      </c>
      <c r="BU3" s="35">
        <v>4.5204326369999999</v>
      </c>
      <c r="BV3" s="35"/>
      <c r="BW3" s="35">
        <v>2.625</v>
      </c>
      <c r="BX3" s="35">
        <v>0.446428571</v>
      </c>
      <c r="BY3" s="35">
        <v>1.262690681</v>
      </c>
      <c r="CB3" t="s">
        <v>268</v>
      </c>
      <c r="CD3" t="s">
        <v>268</v>
      </c>
      <c r="CE3" t="s">
        <v>267</v>
      </c>
      <c r="CF3" t="s">
        <v>309</v>
      </c>
      <c r="CG3" t="s">
        <v>268</v>
      </c>
      <c r="CI3" t="s">
        <v>268</v>
      </c>
      <c r="CK3" s="30">
        <f t="shared" ref="CK3:CK65" si="1">(CB3="Yes")+(CD3="Yes")+(CE3="Yes")+(CI3="No")</f>
        <v>2</v>
      </c>
      <c r="CL3">
        <f t="shared" ref="CL3:CL65" si="2">CK3+AV3+BA3+BI3</f>
        <v>3</v>
      </c>
    </row>
    <row r="4" spans="1:90" hidden="1" x14ac:dyDescent="0.35">
      <c r="A4" t="s">
        <v>327</v>
      </c>
      <c r="B4" t="s">
        <v>171</v>
      </c>
      <c r="C4" t="s">
        <v>172</v>
      </c>
      <c r="D4" t="s">
        <v>173</v>
      </c>
      <c r="E4" t="s">
        <v>174</v>
      </c>
      <c r="F4">
        <v>2025</v>
      </c>
      <c r="G4" t="s">
        <v>175</v>
      </c>
      <c r="I4" t="s">
        <v>332</v>
      </c>
      <c r="K4" t="s">
        <v>178</v>
      </c>
      <c r="L4" t="s">
        <v>177</v>
      </c>
      <c r="M4" t="s">
        <v>1125</v>
      </c>
      <c r="N4" t="s">
        <v>179</v>
      </c>
      <c r="O4" t="s">
        <v>187</v>
      </c>
      <c r="Q4" t="s">
        <v>187</v>
      </c>
      <c r="S4" t="s">
        <v>194</v>
      </c>
      <c r="U4" t="s">
        <v>1117</v>
      </c>
      <c r="V4" t="s">
        <v>267</v>
      </c>
      <c r="W4" t="s">
        <v>317</v>
      </c>
      <c r="X4" t="s">
        <v>270</v>
      </c>
      <c r="Y4" t="s">
        <v>227</v>
      </c>
      <c r="AA4" t="s">
        <v>187</v>
      </c>
      <c r="AC4" t="s">
        <v>310</v>
      </c>
      <c r="AE4" t="s">
        <v>273</v>
      </c>
      <c r="AG4" t="s">
        <v>275</v>
      </c>
      <c r="AI4" t="s">
        <v>345</v>
      </c>
      <c r="AK4">
        <v>1</v>
      </c>
      <c r="AM4">
        <v>21</v>
      </c>
      <c r="AO4" t="s">
        <v>1105</v>
      </c>
      <c r="AP4" t="s">
        <v>280</v>
      </c>
      <c r="AQ4" t="s">
        <v>283</v>
      </c>
      <c r="AR4" t="s">
        <v>312</v>
      </c>
      <c r="AS4" t="s">
        <v>1098</v>
      </c>
      <c r="AT4" t="s">
        <v>313</v>
      </c>
      <c r="AU4" t="s">
        <v>191</v>
      </c>
      <c r="AV4" s="30">
        <v>1</v>
      </c>
      <c r="AW4" t="s">
        <v>287</v>
      </c>
      <c r="AX4" t="s">
        <v>191</v>
      </c>
      <c r="AZ4" t="s">
        <v>829</v>
      </c>
      <c r="BA4">
        <v>0</v>
      </c>
      <c r="BB4" t="s">
        <v>289</v>
      </c>
      <c r="BC4" t="s">
        <v>239</v>
      </c>
      <c r="BE4" t="s">
        <v>336</v>
      </c>
      <c r="BF4" t="s">
        <v>291</v>
      </c>
      <c r="BG4" t="s">
        <v>297</v>
      </c>
      <c r="BH4" t="s">
        <v>191</v>
      </c>
      <c r="BI4">
        <v>0</v>
      </c>
      <c r="BJ4" t="s">
        <v>315</v>
      </c>
      <c r="BK4" t="s">
        <v>339</v>
      </c>
      <c r="BL4" t="s">
        <v>319</v>
      </c>
      <c r="BM4" t="s">
        <v>318</v>
      </c>
      <c r="BN4" t="str">
        <f t="shared" si="0"/>
        <v>CUMS_CUMS+MUSIC</v>
      </c>
      <c r="BO4" t="s">
        <v>267</v>
      </c>
      <c r="BQ4">
        <v>8</v>
      </c>
      <c r="BR4">
        <v>8</v>
      </c>
      <c r="BS4" s="35">
        <v>0</v>
      </c>
      <c r="BT4" s="35">
        <v>0</v>
      </c>
      <c r="BU4" s="35">
        <v>0</v>
      </c>
      <c r="BV4" s="35"/>
      <c r="BW4" s="35">
        <v>31.377825619999999</v>
      </c>
      <c r="BX4" s="35">
        <v>8.2884822390000004</v>
      </c>
      <c r="BY4" s="35">
        <v>23.443367989999999</v>
      </c>
      <c r="CB4" t="s">
        <v>268</v>
      </c>
      <c r="CD4" t="s">
        <v>268</v>
      </c>
      <c r="CE4" t="s">
        <v>267</v>
      </c>
      <c r="CF4" t="s">
        <v>309</v>
      </c>
      <c r="CG4" t="s">
        <v>268</v>
      </c>
      <c r="CI4" t="s">
        <v>268</v>
      </c>
      <c r="CK4" s="30">
        <f t="shared" si="1"/>
        <v>2</v>
      </c>
      <c r="CL4">
        <f t="shared" si="2"/>
        <v>3</v>
      </c>
    </row>
    <row r="5" spans="1:90" hidden="1" x14ac:dyDescent="0.35">
      <c r="A5" t="s">
        <v>328</v>
      </c>
      <c r="B5" t="s">
        <v>171</v>
      </c>
      <c r="C5" t="s">
        <v>172</v>
      </c>
      <c r="D5" t="s">
        <v>173</v>
      </c>
      <c r="E5" t="s">
        <v>174</v>
      </c>
      <c r="F5">
        <v>2025</v>
      </c>
      <c r="G5" t="s">
        <v>175</v>
      </c>
      <c r="I5" t="s">
        <v>333</v>
      </c>
      <c r="K5" t="s">
        <v>178</v>
      </c>
      <c r="L5" t="s">
        <v>177</v>
      </c>
      <c r="M5" t="s">
        <v>1125</v>
      </c>
      <c r="N5" t="s">
        <v>179</v>
      </c>
      <c r="O5" t="s">
        <v>187</v>
      </c>
      <c r="Q5" t="s">
        <v>187</v>
      </c>
      <c r="S5" t="s">
        <v>194</v>
      </c>
      <c r="U5" t="s">
        <v>1117</v>
      </c>
      <c r="V5" t="s">
        <v>267</v>
      </c>
      <c r="W5" t="s">
        <v>317</v>
      </c>
      <c r="X5" t="s">
        <v>270</v>
      </c>
      <c r="Y5" t="s">
        <v>227</v>
      </c>
      <c r="AA5" t="s">
        <v>187</v>
      </c>
      <c r="AC5" t="s">
        <v>310</v>
      </c>
      <c r="AE5" t="s">
        <v>273</v>
      </c>
      <c r="AG5" t="s">
        <v>275</v>
      </c>
      <c r="AI5" t="s">
        <v>345</v>
      </c>
      <c r="AK5">
        <v>1</v>
      </c>
      <c r="AM5">
        <v>21</v>
      </c>
      <c r="AO5" t="s">
        <v>1105</v>
      </c>
      <c r="AP5" t="s">
        <v>280</v>
      </c>
      <c r="AQ5" t="s">
        <v>283</v>
      </c>
      <c r="AR5" t="s">
        <v>312</v>
      </c>
      <c r="AS5" t="s">
        <v>1098</v>
      </c>
      <c r="AT5" t="s">
        <v>313</v>
      </c>
      <c r="AU5" t="s">
        <v>191</v>
      </c>
      <c r="AV5" s="30">
        <v>1</v>
      </c>
      <c r="AW5" t="s">
        <v>287</v>
      </c>
      <c r="AX5" t="s">
        <v>191</v>
      </c>
      <c r="AZ5" t="s">
        <v>829</v>
      </c>
      <c r="BA5">
        <v>0</v>
      </c>
      <c r="BB5" t="s">
        <v>289</v>
      </c>
      <c r="BC5" t="s">
        <v>239</v>
      </c>
      <c r="BE5" t="s">
        <v>337</v>
      </c>
      <c r="BF5" t="s">
        <v>291</v>
      </c>
      <c r="BG5" t="s">
        <v>297</v>
      </c>
      <c r="BH5" t="s">
        <v>191</v>
      </c>
      <c r="BI5">
        <v>0</v>
      </c>
      <c r="BJ5" t="s">
        <v>315</v>
      </c>
      <c r="BK5" t="s">
        <v>340</v>
      </c>
      <c r="BL5" t="s">
        <v>319</v>
      </c>
      <c r="BM5" t="s">
        <v>318</v>
      </c>
      <c r="BN5" t="str">
        <f t="shared" si="0"/>
        <v>CUMS_CUMS+MUSIC</v>
      </c>
      <c r="BO5" t="s">
        <v>268</v>
      </c>
      <c r="BP5" t="s">
        <v>324</v>
      </c>
      <c r="BQ5">
        <v>8</v>
      </c>
      <c r="BR5">
        <v>8</v>
      </c>
      <c r="BS5" s="35">
        <v>299.89235739999998</v>
      </c>
      <c r="BT5" s="35">
        <v>0.75349838499999999</v>
      </c>
      <c r="BU5" s="35">
        <v>2.1312152719999999</v>
      </c>
      <c r="BV5" s="35"/>
      <c r="BW5" s="35">
        <v>256.18945100000002</v>
      </c>
      <c r="BX5" s="35">
        <v>7.1582346609999998</v>
      </c>
      <c r="BY5" s="35">
        <v>20.246545080000001</v>
      </c>
      <c r="CB5" t="s">
        <v>268</v>
      </c>
      <c r="CD5" t="s">
        <v>268</v>
      </c>
      <c r="CE5" t="s">
        <v>267</v>
      </c>
      <c r="CF5" t="s">
        <v>309</v>
      </c>
      <c r="CG5" t="s">
        <v>268</v>
      </c>
      <c r="CI5" t="s">
        <v>268</v>
      </c>
      <c r="CK5" s="30">
        <f t="shared" si="1"/>
        <v>2</v>
      </c>
      <c r="CL5">
        <f t="shared" si="2"/>
        <v>3</v>
      </c>
    </row>
    <row r="6" spans="1:90" hidden="1" x14ac:dyDescent="0.35">
      <c r="A6" t="s">
        <v>329</v>
      </c>
      <c r="B6" t="s">
        <v>171</v>
      </c>
      <c r="C6" t="s">
        <v>172</v>
      </c>
      <c r="D6" t="s">
        <v>173</v>
      </c>
      <c r="E6" t="s">
        <v>174</v>
      </c>
      <c r="F6">
        <v>2025</v>
      </c>
      <c r="G6" t="s">
        <v>175</v>
      </c>
      <c r="I6" t="s">
        <v>334</v>
      </c>
      <c r="K6" t="s">
        <v>178</v>
      </c>
      <c r="L6" t="s">
        <v>177</v>
      </c>
      <c r="M6" t="s">
        <v>1125</v>
      </c>
      <c r="N6" t="s">
        <v>179</v>
      </c>
      <c r="O6" t="s">
        <v>187</v>
      </c>
      <c r="Q6" t="s">
        <v>187</v>
      </c>
      <c r="S6" t="s">
        <v>194</v>
      </c>
      <c r="U6" t="s">
        <v>1117</v>
      </c>
      <c r="V6" t="s">
        <v>267</v>
      </c>
      <c r="W6" t="s">
        <v>317</v>
      </c>
      <c r="X6" t="s">
        <v>270</v>
      </c>
      <c r="Y6" t="s">
        <v>227</v>
      </c>
      <c r="AA6" t="s">
        <v>187</v>
      </c>
      <c r="AC6" t="s">
        <v>310</v>
      </c>
      <c r="AE6" t="s">
        <v>273</v>
      </c>
      <c r="AG6" t="s">
        <v>275</v>
      </c>
      <c r="AI6" t="s">
        <v>345</v>
      </c>
      <c r="AK6">
        <v>1</v>
      </c>
      <c r="AM6">
        <v>21</v>
      </c>
      <c r="AO6" t="s">
        <v>1105</v>
      </c>
      <c r="AP6" t="s">
        <v>280</v>
      </c>
      <c r="AQ6" t="s">
        <v>283</v>
      </c>
      <c r="AR6" t="s">
        <v>312</v>
      </c>
      <c r="AS6" t="s">
        <v>1098</v>
      </c>
      <c r="AT6" t="s">
        <v>313</v>
      </c>
      <c r="AU6" t="s">
        <v>191</v>
      </c>
      <c r="AV6" s="30">
        <v>1</v>
      </c>
      <c r="AW6" t="s">
        <v>287</v>
      </c>
      <c r="AX6" t="s">
        <v>191</v>
      </c>
      <c r="AZ6" t="s">
        <v>829</v>
      </c>
      <c r="BA6">
        <v>0</v>
      </c>
      <c r="BB6" t="s">
        <v>289</v>
      </c>
      <c r="BC6" t="s">
        <v>239</v>
      </c>
      <c r="BE6" t="s">
        <v>483</v>
      </c>
      <c r="BF6" t="s">
        <v>294</v>
      </c>
      <c r="BG6" t="s">
        <v>300</v>
      </c>
      <c r="BH6" t="s">
        <v>191</v>
      </c>
      <c r="BI6">
        <v>0</v>
      </c>
      <c r="BJ6" t="s">
        <v>315</v>
      </c>
      <c r="BK6" t="s">
        <v>341</v>
      </c>
      <c r="BL6" t="s">
        <v>319</v>
      </c>
      <c r="BM6" t="s">
        <v>318</v>
      </c>
      <c r="BN6" t="str">
        <f t="shared" si="0"/>
        <v>CUMS_CUMS+MUSIC</v>
      </c>
      <c r="BO6" t="s">
        <v>268</v>
      </c>
      <c r="BP6" t="s">
        <v>343</v>
      </c>
      <c r="BQ6">
        <v>8</v>
      </c>
      <c r="BR6">
        <v>8</v>
      </c>
      <c r="BS6" s="35">
        <v>0</v>
      </c>
      <c r="BT6" s="35">
        <v>0</v>
      </c>
      <c r="BU6" s="35">
        <v>0</v>
      </c>
      <c r="BV6" s="35"/>
      <c r="BW6" s="35">
        <v>3.255712731</v>
      </c>
      <c r="BX6" s="35">
        <v>0.46137105499999997</v>
      </c>
      <c r="BY6" s="35">
        <v>1.304954408</v>
      </c>
      <c r="CB6" t="s">
        <v>268</v>
      </c>
      <c r="CD6" t="s">
        <v>268</v>
      </c>
      <c r="CE6" t="s">
        <v>267</v>
      </c>
      <c r="CF6" t="s">
        <v>309</v>
      </c>
      <c r="CG6" t="s">
        <v>268</v>
      </c>
      <c r="CI6" t="s">
        <v>268</v>
      </c>
      <c r="CK6" s="30">
        <f t="shared" si="1"/>
        <v>2</v>
      </c>
      <c r="CL6">
        <f t="shared" si="2"/>
        <v>3</v>
      </c>
    </row>
    <row r="7" spans="1:90" hidden="1" x14ac:dyDescent="0.35">
      <c r="A7" t="s">
        <v>330</v>
      </c>
      <c r="B7" t="s">
        <v>171</v>
      </c>
      <c r="C7" t="s">
        <v>172</v>
      </c>
      <c r="D7" t="s">
        <v>173</v>
      </c>
      <c r="E7" t="s">
        <v>174</v>
      </c>
      <c r="F7">
        <v>2025</v>
      </c>
      <c r="G7" t="s">
        <v>175</v>
      </c>
      <c r="I7" t="s">
        <v>335</v>
      </c>
      <c r="K7" t="s">
        <v>178</v>
      </c>
      <c r="L7" t="s">
        <v>177</v>
      </c>
      <c r="M7" t="s">
        <v>1125</v>
      </c>
      <c r="N7" t="s">
        <v>179</v>
      </c>
      <c r="O7" t="s">
        <v>187</v>
      </c>
      <c r="Q7" t="s">
        <v>187</v>
      </c>
      <c r="S7" t="s">
        <v>194</v>
      </c>
      <c r="U7" t="s">
        <v>1117</v>
      </c>
      <c r="V7" t="s">
        <v>267</v>
      </c>
      <c r="W7" t="s">
        <v>317</v>
      </c>
      <c r="X7" t="s">
        <v>270</v>
      </c>
      <c r="Y7" t="s">
        <v>227</v>
      </c>
      <c r="AA7" t="s">
        <v>187</v>
      </c>
      <c r="AC7" t="s">
        <v>310</v>
      </c>
      <c r="AE7" t="s">
        <v>273</v>
      </c>
      <c r="AG7" t="s">
        <v>275</v>
      </c>
      <c r="AI7" t="s">
        <v>345</v>
      </c>
      <c r="AK7">
        <v>1</v>
      </c>
      <c r="AM7">
        <v>21</v>
      </c>
      <c r="AO7" t="s">
        <v>1105</v>
      </c>
      <c r="AP7" t="s">
        <v>280</v>
      </c>
      <c r="AQ7" t="s">
        <v>283</v>
      </c>
      <c r="AR7" t="s">
        <v>312</v>
      </c>
      <c r="AS7" t="s">
        <v>1098</v>
      </c>
      <c r="AT7" t="s">
        <v>313</v>
      </c>
      <c r="AU7" t="s">
        <v>191</v>
      </c>
      <c r="AV7" s="30">
        <v>1</v>
      </c>
      <c r="AW7" t="s">
        <v>287</v>
      </c>
      <c r="AX7" t="s">
        <v>191</v>
      </c>
      <c r="AZ7" t="s">
        <v>829</v>
      </c>
      <c r="BA7">
        <v>0</v>
      </c>
      <c r="BB7" t="s">
        <v>289</v>
      </c>
      <c r="BC7" t="s">
        <v>239</v>
      </c>
      <c r="BE7" t="s">
        <v>338</v>
      </c>
      <c r="BF7" t="s">
        <v>294</v>
      </c>
      <c r="BG7" t="s">
        <v>300</v>
      </c>
      <c r="BH7" t="s">
        <v>191</v>
      </c>
      <c r="BI7">
        <v>0</v>
      </c>
      <c r="BJ7" t="s">
        <v>315</v>
      </c>
      <c r="BK7" t="s">
        <v>342</v>
      </c>
      <c r="BL7" t="s">
        <v>319</v>
      </c>
      <c r="BM7" t="s">
        <v>318</v>
      </c>
      <c r="BN7" t="str">
        <f t="shared" si="0"/>
        <v>CUMS_CUMS+MUSIC</v>
      </c>
      <c r="BO7" t="s">
        <v>268</v>
      </c>
      <c r="BQ7">
        <v>8</v>
      </c>
      <c r="BR7">
        <v>8</v>
      </c>
      <c r="BS7" s="35">
        <v>7.8346028289999996</v>
      </c>
      <c r="BT7" s="35">
        <v>0.97932535399999998</v>
      </c>
      <c r="BU7" s="35">
        <v>2.7699503939999999</v>
      </c>
      <c r="BV7" s="35"/>
      <c r="BW7" s="35">
        <v>16.43090316</v>
      </c>
      <c r="BX7" s="35">
        <v>1.0609358</v>
      </c>
      <c r="BY7" s="35">
        <v>3.0007795939999999</v>
      </c>
      <c r="CB7" t="s">
        <v>268</v>
      </c>
      <c r="CD7" t="s">
        <v>268</v>
      </c>
      <c r="CE7" t="s">
        <v>267</v>
      </c>
      <c r="CF7" t="s">
        <v>309</v>
      </c>
      <c r="CG7" t="s">
        <v>268</v>
      </c>
      <c r="CI7" t="s">
        <v>268</v>
      </c>
      <c r="CK7" s="30">
        <f t="shared" si="1"/>
        <v>2</v>
      </c>
      <c r="CL7">
        <f t="shared" si="2"/>
        <v>3</v>
      </c>
    </row>
    <row r="8" spans="1:90" hidden="1" x14ac:dyDescent="0.35">
      <c r="A8" t="s">
        <v>356</v>
      </c>
      <c r="B8" t="s">
        <v>171</v>
      </c>
      <c r="C8" t="s">
        <v>172</v>
      </c>
      <c r="D8" t="s">
        <v>173</v>
      </c>
      <c r="E8" t="s">
        <v>174</v>
      </c>
      <c r="F8">
        <v>2025</v>
      </c>
      <c r="G8" t="s">
        <v>175</v>
      </c>
      <c r="I8" t="s">
        <v>176</v>
      </c>
      <c r="K8" t="s">
        <v>178</v>
      </c>
      <c r="L8" t="s">
        <v>177</v>
      </c>
      <c r="M8" t="s">
        <v>1125</v>
      </c>
      <c r="N8" t="s">
        <v>179</v>
      </c>
      <c r="O8" t="s">
        <v>187</v>
      </c>
      <c r="Q8" t="s">
        <v>187</v>
      </c>
      <c r="S8" t="s">
        <v>194</v>
      </c>
      <c r="U8" t="s">
        <v>1117</v>
      </c>
      <c r="V8" t="s">
        <v>267</v>
      </c>
      <c r="W8" t="s">
        <v>317</v>
      </c>
      <c r="X8" t="s">
        <v>270</v>
      </c>
      <c r="Y8" t="s">
        <v>227</v>
      </c>
      <c r="AA8" t="s">
        <v>187</v>
      </c>
      <c r="AC8" t="s">
        <v>310</v>
      </c>
      <c r="AE8" t="s">
        <v>273</v>
      </c>
      <c r="AG8" t="s">
        <v>275</v>
      </c>
      <c r="AI8" t="s">
        <v>311</v>
      </c>
      <c r="AJ8" t="s">
        <v>346</v>
      </c>
      <c r="AK8">
        <v>1</v>
      </c>
      <c r="AM8">
        <v>21</v>
      </c>
      <c r="AO8" t="s">
        <v>1105</v>
      </c>
      <c r="AP8" t="s">
        <v>280</v>
      </c>
      <c r="AQ8" t="s">
        <v>283</v>
      </c>
      <c r="AR8" t="s">
        <v>312</v>
      </c>
      <c r="AS8" t="s">
        <v>1098</v>
      </c>
      <c r="AT8" t="s">
        <v>313</v>
      </c>
      <c r="AU8" t="s">
        <v>191</v>
      </c>
      <c r="AV8" s="30">
        <v>1</v>
      </c>
      <c r="AW8" t="s">
        <v>287</v>
      </c>
      <c r="AX8" t="s">
        <v>191</v>
      </c>
      <c r="AZ8" t="s">
        <v>829</v>
      </c>
      <c r="BA8">
        <v>0</v>
      </c>
      <c r="BB8" t="s">
        <v>290</v>
      </c>
      <c r="BC8" t="s">
        <v>257</v>
      </c>
      <c r="BE8" t="s">
        <v>526</v>
      </c>
      <c r="BF8" t="s">
        <v>292</v>
      </c>
      <c r="BG8" t="s">
        <v>298</v>
      </c>
      <c r="BH8" t="s">
        <v>191</v>
      </c>
      <c r="BI8">
        <v>0</v>
      </c>
      <c r="BJ8" t="s">
        <v>322</v>
      </c>
      <c r="BK8" t="s">
        <v>347</v>
      </c>
      <c r="BL8" t="s">
        <v>319</v>
      </c>
      <c r="BM8" t="s">
        <v>318</v>
      </c>
      <c r="BN8" t="str">
        <f t="shared" si="0"/>
        <v>CUMS_CUMS+MUSIC</v>
      </c>
      <c r="BO8" t="s">
        <v>267</v>
      </c>
      <c r="BQ8">
        <v>8</v>
      </c>
      <c r="BR8">
        <v>8</v>
      </c>
      <c r="BS8" s="35">
        <v>20.422535209999999</v>
      </c>
      <c r="BT8" s="35">
        <v>3.1690140850000001</v>
      </c>
      <c r="BU8" s="35">
        <v>8.963325395</v>
      </c>
      <c r="BV8" s="35"/>
      <c r="BW8" s="35">
        <v>72.417840380000001</v>
      </c>
      <c r="BX8" s="35">
        <v>4.8122065730000001</v>
      </c>
      <c r="BY8" s="35">
        <v>13.6109756</v>
      </c>
      <c r="CB8" t="s">
        <v>268</v>
      </c>
      <c r="CD8" t="s">
        <v>268</v>
      </c>
      <c r="CE8" t="s">
        <v>267</v>
      </c>
      <c r="CF8" t="s">
        <v>309</v>
      </c>
      <c r="CG8" t="s">
        <v>268</v>
      </c>
      <c r="CI8" t="s">
        <v>268</v>
      </c>
      <c r="CK8" s="30">
        <f t="shared" si="1"/>
        <v>2</v>
      </c>
      <c r="CL8">
        <f t="shared" si="2"/>
        <v>3</v>
      </c>
    </row>
    <row r="9" spans="1:90" hidden="1" x14ac:dyDescent="0.35">
      <c r="A9" t="s">
        <v>357</v>
      </c>
      <c r="B9" t="s">
        <v>171</v>
      </c>
      <c r="C9" t="s">
        <v>172</v>
      </c>
      <c r="D9" t="s">
        <v>173</v>
      </c>
      <c r="E9" t="s">
        <v>174</v>
      </c>
      <c r="F9">
        <v>2025</v>
      </c>
      <c r="G9" t="s">
        <v>175</v>
      </c>
      <c r="I9" t="s">
        <v>331</v>
      </c>
      <c r="K9" t="s">
        <v>178</v>
      </c>
      <c r="L9" t="s">
        <v>177</v>
      </c>
      <c r="M9" t="s">
        <v>1125</v>
      </c>
      <c r="N9" t="s">
        <v>179</v>
      </c>
      <c r="O9" t="s">
        <v>187</v>
      </c>
      <c r="Q9" t="s">
        <v>187</v>
      </c>
      <c r="S9" t="s">
        <v>194</v>
      </c>
      <c r="U9" t="s">
        <v>1117</v>
      </c>
      <c r="V9" t="s">
        <v>267</v>
      </c>
      <c r="W9" t="s">
        <v>317</v>
      </c>
      <c r="X9" t="s">
        <v>270</v>
      </c>
      <c r="Y9" t="s">
        <v>227</v>
      </c>
      <c r="AA9" t="s">
        <v>187</v>
      </c>
      <c r="AC9" t="s">
        <v>310</v>
      </c>
      <c r="AE9" t="s">
        <v>273</v>
      </c>
      <c r="AG9" t="s">
        <v>275</v>
      </c>
      <c r="AI9" t="s">
        <v>348</v>
      </c>
      <c r="AJ9" t="s">
        <v>349</v>
      </c>
      <c r="AK9">
        <v>1</v>
      </c>
      <c r="AM9">
        <v>21</v>
      </c>
      <c r="AO9" t="s">
        <v>1105</v>
      </c>
      <c r="AP9" t="s">
        <v>280</v>
      </c>
      <c r="AQ9" t="s">
        <v>283</v>
      </c>
      <c r="AR9" t="s">
        <v>312</v>
      </c>
      <c r="AS9" t="s">
        <v>1098</v>
      </c>
      <c r="AT9" t="s">
        <v>313</v>
      </c>
      <c r="AU9" t="s">
        <v>191</v>
      </c>
      <c r="AV9" s="30">
        <v>1</v>
      </c>
      <c r="AW9" t="s">
        <v>287</v>
      </c>
      <c r="AX9" t="s">
        <v>191</v>
      </c>
      <c r="AZ9" t="s">
        <v>829</v>
      </c>
      <c r="BA9">
        <v>0</v>
      </c>
      <c r="BB9" t="s">
        <v>290</v>
      </c>
      <c r="BC9" t="s">
        <v>257</v>
      </c>
      <c r="BE9" t="s">
        <v>526</v>
      </c>
      <c r="BF9" t="s">
        <v>292</v>
      </c>
      <c r="BG9" t="s">
        <v>298</v>
      </c>
      <c r="BH9" t="s">
        <v>191</v>
      </c>
      <c r="BI9">
        <v>0</v>
      </c>
      <c r="BJ9" t="s">
        <v>322</v>
      </c>
      <c r="BK9" t="s">
        <v>350</v>
      </c>
      <c r="BL9" t="s">
        <v>319</v>
      </c>
      <c r="BM9" t="s">
        <v>318</v>
      </c>
      <c r="BN9" t="str">
        <f t="shared" si="0"/>
        <v>CUMS_CUMS+MUSIC</v>
      </c>
      <c r="BO9" t="s">
        <v>267</v>
      </c>
      <c r="BQ9">
        <v>8</v>
      </c>
      <c r="BR9">
        <v>8</v>
      </c>
      <c r="BS9" s="35">
        <v>36.504161709999998</v>
      </c>
      <c r="BT9" s="35">
        <v>7.8478002379999996</v>
      </c>
      <c r="BU9" s="35">
        <v>22.196931060000001</v>
      </c>
      <c r="BV9" s="35"/>
      <c r="BW9" s="35">
        <v>73.602853749999994</v>
      </c>
      <c r="BX9" s="35">
        <v>4.0428061829999997</v>
      </c>
      <c r="BY9" s="35">
        <v>11.434782670000001</v>
      </c>
      <c r="CB9" t="s">
        <v>268</v>
      </c>
      <c r="CD9" t="s">
        <v>268</v>
      </c>
      <c r="CE9" t="s">
        <v>267</v>
      </c>
      <c r="CF9" t="s">
        <v>309</v>
      </c>
      <c r="CG9" t="s">
        <v>268</v>
      </c>
      <c r="CI9" t="s">
        <v>268</v>
      </c>
      <c r="CK9" s="30">
        <f t="shared" si="1"/>
        <v>2</v>
      </c>
      <c r="CL9">
        <f t="shared" si="2"/>
        <v>3</v>
      </c>
    </row>
    <row r="10" spans="1:90" hidden="1" x14ac:dyDescent="0.35">
      <c r="A10" t="s">
        <v>358</v>
      </c>
      <c r="B10" t="s">
        <v>171</v>
      </c>
      <c r="C10" t="s">
        <v>172</v>
      </c>
      <c r="D10" t="s">
        <v>173</v>
      </c>
      <c r="E10" t="s">
        <v>174</v>
      </c>
      <c r="F10">
        <v>2025</v>
      </c>
      <c r="G10" t="s">
        <v>175</v>
      </c>
      <c r="I10" t="s">
        <v>332</v>
      </c>
      <c r="K10" t="s">
        <v>178</v>
      </c>
      <c r="L10" t="s">
        <v>177</v>
      </c>
      <c r="M10" t="s">
        <v>1125</v>
      </c>
      <c r="N10" t="s">
        <v>179</v>
      </c>
      <c r="O10" t="s">
        <v>187</v>
      </c>
      <c r="Q10" t="s">
        <v>187</v>
      </c>
      <c r="S10" t="s">
        <v>194</v>
      </c>
      <c r="U10" t="s">
        <v>1117</v>
      </c>
      <c r="V10" t="s">
        <v>267</v>
      </c>
      <c r="W10" t="s">
        <v>317</v>
      </c>
      <c r="X10" t="s">
        <v>270</v>
      </c>
      <c r="Y10" t="s">
        <v>227</v>
      </c>
      <c r="AA10" t="s">
        <v>187</v>
      </c>
      <c r="AC10" t="s">
        <v>310</v>
      </c>
      <c r="AE10" t="s">
        <v>273</v>
      </c>
      <c r="AG10" t="s">
        <v>275</v>
      </c>
      <c r="AI10" t="s">
        <v>352</v>
      </c>
      <c r="AJ10" t="s">
        <v>353</v>
      </c>
      <c r="AK10">
        <v>1</v>
      </c>
      <c r="AM10">
        <v>21</v>
      </c>
      <c r="AO10" t="s">
        <v>1105</v>
      </c>
      <c r="AP10" t="s">
        <v>280</v>
      </c>
      <c r="AQ10" t="s">
        <v>283</v>
      </c>
      <c r="AR10" t="s">
        <v>312</v>
      </c>
      <c r="AS10" t="s">
        <v>1098</v>
      </c>
      <c r="AT10" t="s">
        <v>313</v>
      </c>
      <c r="AU10" t="s">
        <v>191</v>
      </c>
      <c r="AV10" s="30">
        <v>1</v>
      </c>
      <c r="AW10" t="s">
        <v>287</v>
      </c>
      <c r="AX10" t="s">
        <v>191</v>
      </c>
      <c r="AZ10" t="s">
        <v>829</v>
      </c>
      <c r="BA10">
        <v>0</v>
      </c>
      <c r="BB10" t="s">
        <v>290</v>
      </c>
      <c r="BC10" t="s">
        <v>257</v>
      </c>
      <c r="BE10" t="s">
        <v>526</v>
      </c>
      <c r="BF10" t="s">
        <v>292</v>
      </c>
      <c r="BG10" t="s">
        <v>298</v>
      </c>
      <c r="BH10" t="s">
        <v>191</v>
      </c>
      <c r="BI10">
        <v>0</v>
      </c>
      <c r="BJ10" t="s">
        <v>322</v>
      </c>
      <c r="BK10" t="s">
        <v>351</v>
      </c>
      <c r="BL10" t="s">
        <v>319</v>
      </c>
      <c r="BM10" t="s">
        <v>318</v>
      </c>
      <c r="BN10" t="str">
        <f t="shared" si="0"/>
        <v>CUMS_CUMS+MUSIC</v>
      </c>
      <c r="BO10" t="s">
        <v>267</v>
      </c>
      <c r="BQ10">
        <v>8</v>
      </c>
      <c r="BR10">
        <v>8</v>
      </c>
      <c r="BS10" s="35">
        <v>36.470588239999998</v>
      </c>
      <c r="BT10" s="35">
        <v>8.6274509800000008</v>
      </c>
      <c r="BU10" s="35">
        <v>24.402116370000002</v>
      </c>
      <c r="BV10" s="35"/>
      <c r="BW10" s="35">
        <v>73.59477124</v>
      </c>
      <c r="BX10" s="35">
        <v>6.1437908500000002</v>
      </c>
      <c r="BY10" s="35">
        <v>17.377264690000001</v>
      </c>
      <c r="CB10" t="s">
        <v>268</v>
      </c>
      <c r="CD10" t="s">
        <v>268</v>
      </c>
      <c r="CE10" t="s">
        <v>267</v>
      </c>
      <c r="CF10" t="s">
        <v>309</v>
      </c>
      <c r="CG10" t="s">
        <v>268</v>
      </c>
      <c r="CI10" t="s">
        <v>268</v>
      </c>
      <c r="CK10" s="30">
        <f t="shared" si="1"/>
        <v>2</v>
      </c>
      <c r="CL10">
        <f t="shared" si="2"/>
        <v>3</v>
      </c>
    </row>
    <row r="11" spans="1:90" hidden="1" x14ac:dyDescent="0.35">
      <c r="A11" t="s">
        <v>359</v>
      </c>
      <c r="B11" t="s">
        <v>171</v>
      </c>
      <c r="C11" t="s">
        <v>172</v>
      </c>
      <c r="D11" t="s">
        <v>173</v>
      </c>
      <c r="E11" t="s">
        <v>174</v>
      </c>
      <c r="F11">
        <v>2025</v>
      </c>
      <c r="G11" t="s">
        <v>175</v>
      </c>
      <c r="I11" t="s">
        <v>176</v>
      </c>
      <c r="K11" t="s">
        <v>178</v>
      </c>
      <c r="L11" t="s">
        <v>177</v>
      </c>
      <c r="M11" t="s">
        <v>1125</v>
      </c>
      <c r="N11" t="s">
        <v>179</v>
      </c>
      <c r="O11" t="s">
        <v>187</v>
      </c>
      <c r="Q11" t="s">
        <v>187</v>
      </c>
      <c r="S11" t="s">
        <v>194</v>
      </c>
      <c r="U11" t="s">
        <v>1117</v>
      </c>
      <c r="V11" t="s">
        <v>267</v>
      </c>
      <c r="W11" t="s">
        <v>317</v>
      </c>
      <c r="X11" t="s">
        <v>270</v>
      </c>
      <c r="Y11" t="s">
        <v>227</v>
      </c>
      <c r="AA11" t="s">
        <v>187</v>
      </c>
      <c r="AC11" t="s">
        <v>310</v>
      </c>
      <c r="AE11" t="s">
        <v>273</v>
      </c>
      <c r="AG11" t="s">
        <v>275</v>
      </c>
      <c r="AI11" t="s">
        <v>345</v>
      </c>
      <c r="AK11">
        <v>1</v>
      </c>
      <c r="AM11">
        <v>21</v>
      </c>
      <c r="AO11" t="s">
        <v>1105</v>
      </c>
      <c r="AP11" t="s">
        <v>280</v>
      </c>
      <c r="AQ11" t="s">
        <v>283</v>
      </c>
      <c r="AR11" t="s">
        <v>312</v>
      </c>
      <c r="AS11" t="s">
        <v>1098</v>
      </c>
      <c r="AT11" t="s">
        <v>313</v>
      </c>
      <c r="AU11" t="s">
        <v>191</v>
      </c>
      <c r="AV11" s="30">
        <v>1</v>
      </c>
      <c r="AW11" t="s">
        <v>287</v>
      </c>
      <c r="AX11" t="s">
        <v>191</v>
      </c>
      <c r="AZ11" t="s">
        <v>829</v>
      </c>
      <c r="BA11">
        <v>0</v>
      </c>
      <c r="BB11" t="s">
        <v>290</v>
      </c>
      <c r="BC11" t="s">
        <v>261</v>
      </c>
      <c r="BE11" t="s">
        <v>559</v>
      </c>
      <c r="BF11" t="s">
        <v>291</v>
      </c>
      <c r="BG11" t="s">
        <v>297</v>
      </c>
      <c r="BH11" t="s">
        <v>191</v>
      </c>
      <c r="BI11">
        <v>0</v>
      </c>
      <c r="BJ11" t="s">
        <v>354</v>
      </c>
      <c r="BK11" t="s">
        <v>355</v>
      </c>
      <c r="BL11" t="s">
        <v>319</v>
      </c>
      <c r="BM11" t="s">
        <v>318</v>
      </c>
      <c r="BN11" t="str">
        <f t="shared" si="0"/>
        <v>CUMS_CUMS+MUSIC</v>
      </c>
      <c r="BO11" t="s">
        <v>268</v>
      </c>
      <c r="BQ11">
        <v>8</v>
      </c>
      <c r="BR11">
        <v>8</v>
      </c>
      <c r="BS11" s="35">
        <v>191.0614525</v>
      </c>
      <c r="BT11" s="35">
        <v>23.74301676</v>
      </c>
      <c r="BU11" s="35">
        <v>67.155392629999994</v>
      </c>
      <c r="BV11" s="35"/>
      <c r="BW11" s="35">
        <v>7.541899441</v>
      </c>
      <c r="BX11" s="35">
        <v>0.83798882699999999</v>
      </c>
      <c r="BY11" s="35">
        <v>2.3701903280000001</v>
      </c>
      <c r="CB11" t="s">
        <v>268</v>
      </c>
      <c r="CD11" t="s">
        <v>268</v>
      </c>
      <c r="CE11" t="s">
        <v>267</v>
      </c>
      <c r="CF11" t="s">
        <v>309</v>
      </c>
      <c r="CG11" t="s">
        <v>268</v>
      </c>
      <c r="CI11" t="s">
        <v>268</v>
      </c>
      <c r="CK11" s="30">
        <f t="shared" si="1"/>
        <v>2</v>
      </c>
      <c r="CL11">
        <f t="shared" si="2"/>
        <v>3</v>
      </c>
    </row>
    <row r="12" spans="1:90" hidden="1" x14ac:dyDescent="0.35">
      <c r="A12" t="s">
        <v>379</v>
      </c>
      <c r="B12" t="s">
        <v>360</v>
      </c>
      <c r="C12" t="s">
        <v>361</v>
      </c>
      <c r="D12" t="s">
        <v>362</v>
      </c>
      <c r="E12" t="s">
        <v>363</v>
      </c>
      <c r="F12">
        <v>2020</v>
      </c>
      <c r="G12" t="s">
        <v>175</v>
      </c>
      <c r="I12" t="s">
        <v>176</v>
      </c>
      <c r="K12" t="s">
        <v>180</v>
      </c>
      <c r="L12" t="s">
        <v>181</v>
      </c>
      <c r="M12" t="s">
        <v>364</v>
      </c>
      <c r="N12" t="s">
        <v>193</v>
      </c>
      <c r="O12" t="s">
        <v>190</v>
      </c>
      <c r="P12" t="s">
        <v>365</v>
      </c>
      <c r="Q12" t="s">
        <v>187</v>
      </c>
      <c r="S12" t="s">
        <v>204</v>
      </c>
      <c r="U12" t="s">
        <v>1117</v>
      </c>
      <c r="V12" t="s">
        <v>268</v>
      </c>
      <c r="X12" t="s">
        <v>269</v>
      </c>
      <c r="AE12" t="s">
        <v>273</v>
      </c>
      <c r="AG12" t="s">
        <v>275</v>
      </c>
      <c r="AI12" t="s">
        <v>345</v>
      </c>
      <c r="AK12">
        <v>12</v>
      </c>
      <c r="AL12" t="s">
        <v>366</v>
      </c>
      <c r="AM12">
        <v>39</v>
      </c>
      <c r="AN12" t="s">
        <v>367</v>
      </c>
      <c r="AO12" t="s">
        <v>1106</v>
      </c>
      <c r="AP12" t="s">
        <v>282</v>
      </c>
      <c r="AQ12" t="s">
        <v>283</v>
      </c>
      <c r="AR12" t="s">
        <v>368</v>
      </c>
      <c r="AS12" t="s">
        <v>1094</v>
      </c>
      <c r="AT12">
        <v>65</v>
      </c>
      <c r="AU12" t="s">
        <v>191</v>
      </c>
      <c r="AV12" s="30">
        <v>1</v>
      </c>
      <c r="AW12" t="s">
        <v>287</v>
      </c>
      <c r="AX12" t="s">
        <v>191</v>
      </c>
      <c r="AZ12" t="s">
        <v>829</v>
      </c>
      <c r="BA12">
        <v>0</v>
      </c>
      <c r="BB12" t="s">
        <v>289</v>
      </c>
      <c r="BC12" t="s">
        <v>243</v>
      </c>
      <c r="BE12" t="s">
        <v>434</v>
      </c>
      <c r="BF12" t="s">
        <v>293</v>
      </c>
      <c r="BG12" t="s">
        <v>369</v>
      </c>
      <c r="BH12" t="s">
        <v>191</v>
      </c>
      <c r="BI12">
        <v>1</v>
      </c>
      <c r="BJ12" t="s">
        <v>370</v>
      </c>
      <c r="BK12" t="s">
        <v>391</v>
      </c>
      <c r="BL12" t="s">
        <v>371</v>
      </c>
      <c r="BM12" t="s">
        <v>372</v>
      </c>
      <c r="BN12" t="str">
        <f t="shared" si="0"/>
        <v>IENM_IECM</v>
      </c>
      <c r="BO12" t="s">
        <v>267</v>
      </c>
      <c r="BQ12">
        <v>8</v>
      </c>
      <c r="BR12">
        <v>8</v>
      </c>
      <c r="BS12" s="35">
        <v>8.2959641259999994</v>
      </c>
      <c r="BT12" s="35">
        <v>0.60538116600000003</v>
      </c>
      <c r="BU12" s="35">
        <v>1.7122765099999999</v>
      </c>
      <c r="BV12" s="35"/>
      <c r="BW12" s="35">
        <v>9.1704035869999991</v>
      </c>
      <c r="BX12" s="35">
        <v>0.96412556100000002</v>
      </c>
      <c r="BY12" s="35">
        <v>2.7269588869999999</v>
      </c>
      <c r="CB12" t="s">
        <v>268</v>
      </c>
      <c r="CD12" t="s">
        <v>268</v>
      </c>
      <c r="CE12" t="s">
        <v>191</v>
      </c>
      <c r="CF12" t="s">
        <v>309</v>
      </c>
      <c r="CG12" t="s">
        <v>268</v>
      </c>
      <c r="CI12" t="s">
        <v>268</v>
      </c>
      <c r="CK12" s="30">
        <f t="shared" si="1"/>
        <v>1</v>
      </c>
      <c r="CL12">
        <f t="shared" si="2"/>
        <v>3</v>
      </c>
    </row>
    <row r="13" spans="1:90" hidden="1" x14ac:dyDescent="0.35">
      <c r="A13" t="s">
        <v>380</v>
      </c>
      <c r="B13" t="s">
        <v>360</v>
      </c>
      <c r="C13" t="s">
        <v>361</v>
      </c>
      <c r="D13" t="s">
        <v>362</v>
      </c>
      <c r="E13" t="s">
        <v>363</v>
      </c>
      <c r="F13">
        <v>2020</v>
      </c>
      <c r="G13" t="s">
        <v>175</v>
      </c>
      <c r="I13" t="s">
        <v>331</v>
      </c>
      <c r="K13" t="s">
        <v>180</v>
      </c>
      <c r="L13" t="s">
        <v>181</v>
      </c>
      <c r="M13" t="s">
        <v>364</v>
      </c>
      <c r="N13" t="s">
        <v>193</v>
      </c>
      <c r="O13" t="s">
        <v>190</v>
      </c>
      <c r="P13" t="s">
        <v>365</v>
      </c>
      <c r="Q13" t="s">
        <v>187</v>
      </c>
      <c r="S13" t="s">
        <v>204</v>
      </c>
      <c r="U13" t="s">
        <v>1117</v>
      </c>
      <c r="V13" t="s">
        <v>268</v>
      </c>
      <c r="X13" t="s">
        <v>269</v>
      </c>
      <c r="AE13" t="s">
        <v>273</v>
      </c>
      <c r="AG13" t="s">
        <v>275</v>
      </c>
      <c r="AI13" t="s">
        <v>345</v>
      </c>
      <c r="AK13">
        <v>12</v>
      </c>
      <c r="AL13" t="s">
        <v>366</v>
      </c>
      <c r="AM13">
        <v>39</v>
      </c>
      <c r="AN13" t="s">
        <v>367</v>
      </c>
      <c r="AO13" t="s">
        <v>1106</v>
      </c>
      <c r="AP13" t="s">
        <v>282</v>
      </c>
      <c r="AQ13" t="s">
        <v>283</v>
      </c>
      <c r="AR13" t="s">
        <v>368</v>
      </c>
      <c r="AS13" t="s">
        <v>1094</v>
      </c>
      <c r="AT13">
        <v>65</v>
      </c>
      <c r="AU13" t="s">
        <v>191</v>
      </c>
      <c r="AV13" s="30">
        <v>1</v>
      </c>
      <c r="AW13" t="s">
        <v>287</v>
      </c>
      <c r="AX13" t="s">
        <v>191</v>
      </c>
      <c r="AZ13" t="s">
        <v>829</v>
      </c>
      <c r="BA13">
        <v>0</v>
      </c>
      <c r="BB13" t="s">
        <v>289</v>
      </c>
      <c r="BC13" t="s">
        <v>243</v>
      </c>
      <c r="BE13" t="s">
        <v>373</v>
      </c>
      <c r="BF13" t="s">
        <v>294</v>
      </c>
      <c r="BG13" t="s">
        <v>300</v>
      </c>
      <c r="BH13" t="s">
        <v>191</v>
      </c>
      <c r="BI13">
        <v>1</v>
      </c>
      <c r="BJ13" t="s">
        <v>370</v>
      </c>
      <c r="BK13" t="s">
        <v>392</v>
      </c>
      <c r="BL13" t="s">
        <v>371</v>
      </c>
      <c r="BM13" t="s">
        <v>372</v>
      </c>
      <c r="BN13" t="str">
        <f t="shared" si="0"/>
        <v>IENM_IECM</v>
      </c>
      <c r="BO13" t="s">
        <v>267</v>
      </c>
      <c r="BQ13">
        <v>8</v>
      </c>
      <c r="BR13">
        <v>8</v>
      </c>
      <c r="BS13" s="35">
        <v>114.3288084</v>
      </c>
      <c r="BT13" s="35">
        <v>8.7481146299999999</v>
      </c>
      <c r="BU13" s="35">
        <v>24.74340471</v>
      </c>
      <c r="BV13" s="35"/>
      <c r="BW13" s="35">
        <v>107.39064860000001</v>
      </c>
      <c r="BX13" s="35">
        <v>11.463046759999999</v>
      </c>
      <c r="BY13" s="35">
        <v>32.422392379999998</v>
      </c>
      <c r="CB13" t="s">
        <v>268</v>
      </c>
      <c r="CD13" t="s">
        <v>268</v>
      </c>
      <c r="CE13" t="s">
        <v>191</v>
      </c>
      <c r="CF13" t="s">
        <v>309</v>
      </c>
      <c r="CG13" t="s">
        <v>268</v>
      </c>
      <c r="CI13" t="s">
        <v>268</v>
      </c>
      <c r="CK13" s="30">
        <f t="shared" si="1"/>
        <v>1</v>
      </c>
      <c r="CL13">
        <f t="shared" si="2"/>
        <v>3</v>
      </c>
    </row>
    <row r="14" spans="1:90" hidden="1" x14ac:dyDescent="0.35">
      <c r="A14" t="s">
        <v>381</v>
      </c>
      <c r="B14" t="s">
        <v>360</v>
      </c>
      <c r="C14" t="s">
        <v>361</v>
      </c>
      <c r="D14" t="s">
        <v>362</v>
      </c>
      <c r="E14" t="s">
        <v>363</v>
      </c>
      <c r="F14">
        <v>2020</v>
      </c>
      <c r="G14" t="s">
        <v>175</v>
      </c>
      <c r="I14" t="s">
        <v>332</v>
      </c>
      <c r="K14" t="s">
        <v>180</v>
      </c>
      <c r="L14" t="s">
        <v>181</v>
      </c>
      <c r="M14" t="s">
        <v>364</v>
      </c>
      <c r="N14" t="s">
        <v>193</v>
      </c>
      <c r="O14" t="s">
        <v>190</v>
      </c>
      <c r="P14" t="s">
        <v>365</v>
      </c>
      <c r="Q14" t="s">
        <v>187</v>
      </c>
      <c r="S14" t="s">
        <v>204</v>
      </c>
      <c r="U14" t="s">
        <v>1117</v>
      </c>
      <c r="V14" t="s">
        <v>268</v>
      </c>
      <c r="X14" t="s">
        <v>269</v>
      </c>
      <c r="AE14" t="s">
        <v>273</v>
      </c>
      <c r="AG14" t="s">
        <v>275</v>
      </c>
      <c r="AI14" t="s">
        <v>345</v>
      </c>
      <c r="AK14">
        <v>12</v>
      </c>
      <c r="AL14" t="s">
        <v>366</v>
      </c>
      <c r="AM14">
        <v>39</v>
      </c>
      <c r="AN14" t="s">
        <v>367</v>
      </c>
      <c r="AO14" t="s">
        <v>1106</v>
      </c>
      <c r="AP14" t="s">
        <v>282</v>
      </c>
      <c r="AQ14" t="s">
        <v>283</v>
      </c>
      <c r="AR14" t="s">
        <v>368</v>
      </c>
      <c r="AS14" t="s">
        <v>1094</v>
      </c>
      <c r="AT14">
        <v>65</v>
      </c>
      <c r="AU14" t="s">
        <v>191</v>
      </c>
      <c r="AV14" s="30">
        <v>1</v>
      </c>
      <c r="AW14" t="s">
        <v>287</v>
      </c>
      <c r="AX14" t="s">
        <v>191</v>
      </c>
      <c r="AZ14" t="s">
        <v>829</v>
      </c>
      <c r="BA14">
        <v>0</v>
      </c>
      <c r="BB14" t="s">
        <v>289</v>
      </c>
      <c r="BC14" t="s">
        <v>243</v>
      </c>
      <c r="BE14" t="s">
        <v>559</v>
      </c>
      <c r="BF14" t="s">
        <v>291</v>
      </c>
      <c r="BG14" t="s">
        <v>297</v>
      </c>
      <c r="BH14" t="s">
        <v>191</v>
      </c>
      <c r="BI14">
        <v>1</v>
      </c>
      <c r="BJ14" t="s">
        <v>370</v>
      </c>
      <c r="BK14" t="s">
        <v>393</v>
      </c>
      <c r="BL14" t="s">
        <v>371</v>
      </c>
      <c r="BM14" t="s">
        <v>372</v>
      </c>
      <c r="BN14" t="str">
        <f t="shared" si="0"/>
        <v>IENM_IECM</v>
      </c>
      <c r="BO14" t="s">
        <v>268</v>
      </c>
      <c r="BQ14">
        <v>8</v>
      </c>
      <c r="BR14">
        <v>8</v>
      </c>
      <c r="BS14" s="35">
        <v>76.53958944</v>
      </c>
      <c r="BT14" s="35">
        <v>8.3577712609999999</v>
      </c>
      <c r="BU14" s="35">
        <v>23.639346939999999</v>
      </c>
      <c r="BV14" s="35"/>
      <c r="BW14" s="35">
        <v>103.372434</v>
      </c>
      <c r="BX14" s="35">
        <v>9.8973607040000005</v>
      </c>
      <c r="BY14" s="35">
        <v>27.993963480000001</v>
      </c>
      <c r="CB14" t="s">
        <v>268</v>
      </c>
      <c r="CD14" t="s">
        <v>268</v>
      </c>
      <c r="CE14" t="s">
        <v>191</v>
      </c>
      <c r="CF14" t="s">
        <v>309</v>
      </c>
      <c r="CG14" t="s">
        <v>268</v>
      </c>
      <c r="CI14" t="s">
        <v>268</v>
      </c>
      <c r="CK14" s="30">
        <f t="shared" si="1"/>
        <v>1</v>
      </c>
      <c r="CL14">
        <f t="shared" si="2"/>
        <v>3</v>
      </c>
    </row>
    <row r="15" spans="1:90" hidden="1" x14ac:dyDescent="0.35">
      <c r="A15" t="s">
        <v>382</v>
      </c>
      <c r="B15" t="s">
        <v>360</v>
      </c>
      <c r="C15" t="s">
        <v>361</v>
      </c>
      <c r="D15" t="s">
        <v>362</v>
      </c>
      <c r="E15" t="s">
        <v>363</v>
      </c>
      <c r="F15">
        <v>2020</v>
      </c>
      <c r="G15" t="s">
        <v>175</v>
      </c>
      <c r="I15" t="s">
        <v>333</v>
      </c>
      <c r="K15" t="s">
        <v>180</v>
      </c>
      <c r="L15" t="s">
        <v>181</v>
      </c>
      <c r="M15" t="s">
        <v>364</v>
      </c>
      <c r="N15" t="s">
        <v>193</v>
      </c>
      <c r="O15" t="s">
        <v>190</v>
      </c>
      <c r="P15" t="s">
        <v>365</v>
      </c>
      <c r="Q15" t="s">
        <v>187</v>
      </c>
      <c r="S15" t="s">
        <v>204</v>
      </c>
      <c r="U15" t="s">
        <v>1117</v>
      </c>
      <c r="V15" t="s">
        <v>268</v>
      </c>
      <c r="X15" t="s">
        <v>269</v>
      </c>
      <c r="AE15" t="s">
        <v>273</v>
      </c>
      <c r="AG15" t="s">
        <v>275</v>
      </c>
      <c r="AI15" t="s">
        <v>345</v>
      </c>
      <c r="AK15">
        <v>12</v>
      </c>
      <c r="AL15" t="s">
        <v>366</v>
      </c>
      <c r="AM15">
        <v>39</v>
      </c>
      <c r="AN15" t="s">
        <v>367</v>
      </c>
      <c r="AO15" t="s">
        <v>1106</v>
      </c>
      <c r="AP15" t="s">
        <v>282</v>
      </c>
      <c r="AQ15" t="s">
        <v>283</v>
      </c>
      <c r="AR15" t="s">
        <v>368</v>
      </c>
      <c r="AS15" t="s">
        <v>1094</v>
      </c>
      <c r="AT15">
        <v>65</v>
      </c>
      <c r="AU15" t="s">
        <v>191</v>
      </c>
      <c r="AV15" s="30">
        <v>1</v>
      </c>
      <c r="AW15" t="s">
        <v>287</v>
      </c>
      <c r="AX15" t="s">
        <v>191</v>
      </c>
      <c r="AZ15" t="s">
        <v>829</v>
      </c>
      <c r="BA15">
        <v>0</v>
      </c>
      <c r="BB15" t="s">
        <v>289</v>
      </c>
      <c r="BC15" t="s">
        <v>243</v>
      </c>
      <c r="BD15" t="s">
        <v>388</v>
      </c>
      <c r="BE15" t="s">
        <v>374</v>
      </c>
      <c r="BF15" t="s">
        <v>291</v>
      </c>
      <c r="BG15" t="s">
        <v>389</v>
      </c>
      <c r="BH15" t="s">
        <v>191</v>
      </c>
      <c r="BI15">
        <v>1</v>
      </c>
      <c r="BJ15" t="s">
        <v>370</v>
      </c>
      <c r="BK15" t="s">
        <v>394</v>
      </c>
      <c r="BL15" t="s">
        <v>371</v>
      </c>
      <c r="BM15" t="s">
        <v>372</v>
      </c>
      <c r="BN15" t="str">
        <f t="shared" si="0"/>
        <v>IENM_IECM</v>
      </c>
      <c r="BO15" t="s">
        <v>268</v>
      </c>
      <c r="BP15" t="s">
        <v>375</v>
      </c>
      <c r="BQ15">
        <v>8</v>
      </c>
      <c r="BR15">
        <v>8</v>
      </c>
      <c r="BS15" s="35">
        <v>0.41407035199999997</v>
      </c>
      <c r="BT15" s="35">
        <v>3.6180904999999999E-2</v>
      </c>
      <c r="BU15" s="35">
        <v>0.102335052</v>
      </c>
      <c r="BV15" s="35"/>
      <c r="BW15" s="35">
        <v>0.51725293100000003</v>
      </c>
      <c r="BX15" s="35">
        <v>5.6281406999999999E-2</v>
      </c>
      <c r="BY15" s="35">
        <v>0.15918785799999999</v>
      </c>
      <c r="CB15" t="s">
        <v>268</v>
      </c>
      <c r="CD15" t="s">
        <v>268</v>
      </c>
      <c r="CE15" t="s">
        <v>191</v>
      </c>
      <c r="CF15" t="s">
        <v>309</v>
      </c>
      <c r="CG15" t="s">
        <v>268</v>
      </c>
      <c r="CI15" t="s">
        <v>268</v>
      </c>
      <c r="CK15" s="30">
        <f t="shared" si="1"/>
        <v>1</v>
      </c>
      <c r="CL15">
        <f t="shared" si="2"/>
        <v>3</v>
      </c>
    </row>
    <row r="16" spans="1:90" hidden="1" x14ac:dyDescent="0.35">
      <c r="A16" t="s">
        <v>383</v>
      </c>
      <c r="B16" t="s">
        <v>360</v>
      </c>
      <c r="C16" t="s">
        <v>361</v>
      </c>
      <c r="D16" t="s">
        <v>362</v>
      </c>
      <c r="E16" t="s">
        <v>363</v>
      </c>
      <c r="F16">
        <v>2020</v>
      </c>
      <c r="G16" t="s">
        <v>344</v>
      </c>
      <c r="I16" t="s">
        <v>176</v>
      </c>
      <c r="K16" t="s">
        <v>180</v>
      </c>
      <c r="L16" t="s">
        <v>181</v>
      </c>
      <c r="M16" t="s">
        <v>364</v>
      </c>
      <c r="N16" t="s">
        <v>193</v>
      </c>
      <c r="O16" t="s">
        <v>190</v>
      </c>
      <c r="P16" t="s">
        <v>365</v>
      </c>
      <c r="Q16" t="s">
        <v>187</v>
      </c>
      <c r="S16" t="s">
        <v>204</v>
      </c>
      <c r="U16" t="s">
        <v>1117</v>
      </c>
      <c r="V16" t="s">
        <v>267</v>
      </c>
      <c r="W16" t="s">
        <v>376</v>
      </c>
      <c r="X16" t="s">
        <v>269</v>
      </c>
      <c r="AE16" t="s">
        <v>273</v>
      </c>
      <c r="AG16" t="s">
        <v>275</v>
      </c>
      <c r="AI16" t="s">
        <v>345</v>
      </c>
      <c r="AK16">
        <v>12</v>
      </c>
      <c r="AL16" t="s">
        <v>366</v>
      </c>
      <c r="AM16">
        <v>39</v>
      </c>
      <c r="AN16" t="s">
        <v>367</v>
      </c>
      <c r="AO16" t="s">
        <v>1106</v>
      </c>
      <c r="AP16" t="s">
        <v>282</v>
      </c>
      <c r="AQ16" t="s">
        <v>283</v>
      </c>
      <c r="AR16" t="s">
        <v>368</v>
      </c>
      <c r="AS16" t="s">
        <v>1094</v>
      </c>
      <c r="AT16">
        <v>65</v>
      </c>
      <c r="AU16" t="s">
        <v>191</v>
      </c>
      <c r="AV16" s="30">
        <v>1</v>
      </c>
      <c r="AW16" t="s">
        <v>287</v>
      </c>
      <c r="AX16" t="s">
        <v>191</v>
      </c>
      <c r="AZ16" t="s">
        <v>829</v>
      </c>
      <c r="BA16">
        <v>0</v>
      </c>
      <c r="BB16" t="s">
        <v>289</v>
      </c>
      <c r="BC16" t="s">
        <v>243</v>
      </c>
      <c r="BE16" t="s">
        <v>434</v>
      </c>
      <c r="BF16" t="s">
        <v>293</v>
      </c>
      <c r="BG16" t="s">
        <v>369</v>
      </c>
      <c r="BH16" t="s">
        <v>191</v>
      </c>
      <c r="BI16">
        <v>1</v>
      </c>
      <c r="BJ16" t="s">
        <v>370</v>
      </c>
      <c r="BK16" t="s">
        <v>391</v>
      </c>
      <c r="BL16" t="s">
        <v>377</v>
      </c>
      <c r="BM16" t="s">
        <v>378</v>
      </c>
      <c r="BN16" t="str">
        <f t="shared" si="0"/>
        <v>EENM_EECM</v>
      </c>
      <c r="BO16" t="s">
        <v>267</v>
      </c>
      <c r="BQ16">
        <v>8</v>
      </c>
      <c r="BR16">
        <v>8</v>
      </c>
      <c r="BS16" s="35">
        <v>11.076233179999999</v>
      </c>
      <c r="BT16" s="35">
        <v>0.47085201799999998</v>
      </c>
      <c r="BU16" s="35">
        <v>1.331770619</v>
      </c>
      <c r="BV16" s="35"/>
      <c r="BW16" s="35">
        <v>9.551569507</v>
      </c>
      <c r="BX16" s="35">
        <v>0.35874439499999999</v>
      </c>
      <c r="BY16" s="35">
        <v>1.014682377</v>
      </c>
      <c r="CB16" t="s">
        <v>268</v>
      </c>
      <c r="CD16" t="s">
        <v>268</v>
      </c>
      <c r="CE16" t="s">
        <v>191</v>
      </c>
      <c r="CF16" t="s">
        <v>309</v>
      </c>
      <c r="CG16" t="s">
        <v>268</v>
      </c>
      <c r="CI16" t="s">
        <v>268</v>
      </c>
      <c r="CK16" s="30">
        <f t="shared" si="1"/>
        <v>1</v>
      </c>
      <c r="CL16">
        <f t="shared" si="2"/>
        <v>3</v>
      </c>
    </row>
    <row r="17" spans="1:90" hidden="1" x14ac:dyDescent="0.35">
      <c r="A17" t="s">
        <v>384</v>
      </c>
      <c r="B17" t="s">
        <v>360</v>
      </c>
      <c r="C17" t="s">
        <v>361</v>
      </c>
      <c r="D17" t="s">
        <v>362</v>
      </c>
      <c r="E17" t="s">
        <v>363</v>
      </c>
      <c r="F17">
        <v>2020</v>
      </c>
      <c r="G17" t="s">
        <v>344</v>
      </c>
      <c r="I17" t="s">
        <v>331</v>
      </c>
      <c r="K17" t="s">
        <v>180</v>
      </c>
      <c r="L17" t="s">
        <v>181</v>
      </c>
      <c r="M17" t="s">
        <v>364</v>
      </c>
      <c r="N17" t="s">
        <v>193</v>
      </c>
      <c r="O17" t="s">
        <v>190</v>
      </c>
      <c r="P17" t="s">
        <v>365</v>
      </c>
      <c r="Q17" t="s">
        <v>187</v>
      </c>
      <c r="S17" t="s">
        <v>204</v>
      </c>
      <c r="U17" t="s">
        <v>1117</v>
      </c>
      <c r="V17" t="s">
        <v>267</v>
      </c>
      <c r="W17" t="s">
        <v>376</v>
      </c>
      <c r="X17" t="s">
        <v>269</v>
      </c>
      <c r="AE17" t="s">
        <v>273</v>
      </c>
      <c r="AG17" t="s">
        <v>275</v>
      </c>
      <c r="AI17" t="s">
        <v>345</v>
      </c>
      <c r="AK17">
        <v>12</v>
      </c>
      <c r="AL17" t="s">
        <v>366</v>
      </c>
      <c r="AM17">
        <v>39</v>
      </c>
      <c r="AN17" t="s">
        <v>367</v>
      </c>
      <c r="AO17" t="s">
        <v>1106</v>
      </c>
      <c r="AP17" t="s">
        <v>282</v>
      </c>
      <c r="AQ17" t="s">
        <v>283</v>
      </c>
      <c r="AR17" t="s">
        <v>368</v>
      </c>
      <c r="AS17" t="s">
        <v>1094</v>
      </c>
      <c r="AT17">
        <v>65</v>
      </c>
      <c r="AU17" t="s">
        <v>191</v>
      </c>
      <c r="AV17" s="30">
        <v>1</v>
      </c>
      <c r="AW17" t="s">
        <v>287</v>
      </c>
      <c r="AX17" t="s">
        <v>191</v>
      </c>
      <c r="AZ17" t="s">
        <v>829</v>
      </c>
      <c r="BA17">
        <v>0</v>
      </c>
      <c r="BB17" t="s">
        <v>289</v>
      </c>
      <c r="BC17" t="s">
        <v>243</v>
      </c>
      <c r="BE17" t="s">
        <v>373</v>
      </c>
      <c r="BF17" t="s">
        <v>294</v>
      </c>
      <c r="BG17" t="s">
        <v>300</v>
      </c>
      <c r="BH17" t="s">
        <v>191</v>
      </c>
      <c r="BI17">
        <v>1</v>
      </c>
      <c r="BJ17" t="s">
        <v>370</v>
      </c>
      <c r="BK17" t="s">
        <v>392</v>
      </c>
      <c r="BL17" t="s">
        <v>377</v>
      </c>
      <c r="BM17" t="s">
        <v>378</v>
      </c>
      <c r="BN17" t="str">
        <f t="shared" si="0"/>
        <v>EENM_EECM</v>
      </c>
      <c r="BO17" t="s">
        <v>267</v>
      </c>
      <c r="BQ17">
        <v>8</v>
      </c>
      <c r="BR17">
        <v>8</v>
      </c>
      <c r="BS17" s="35">
        <v>146.907994</v>
      </c>
      <c r="BT17" s="35">
        <v>6.033182504</v>
      </c>
      <c r="BU17" s="35">
        <v>17.064417039999999</v>
      </c>
      <c r="BV17" s="35"/>
      <c r="BW17" s="35">
        <v>134.84162900000001</v>
      </c>
      <c r="BX17" s="35">
        <v>5.4298642529999999</v>
      </c>
      <c r="BY17" s="35">
        <v>15.357975339999999</v>
      </c>
      <c r="CB17" t="s">
        <v>268</v>
      </c>
      <c r="CD17" t="s">
        <v>268</v>
      </c>
      <c r="CE17" t="s">
        <v>191</v>
      </c>
      <c r="CF17" t="s">
        <v>309</v>
      </c>
      <c r="CG17" t="s">
        <v>268</v>
      </c>
      <c r="CI17" t="s">
        <v>268</v>
      </c>
      <c r="CK17" s="30">
        <f t="shared" si="1"/>
        <v>1</v>
      </c>
      <c r="CL17">
        <f t="shared" si="2"/>
        <v>3</v>
      </c>
    </row>
    <row r="18" spans="1:90" hidden="1" x14ac:dyDescent="0.35">
      <c r="A18" t="s">
        <v>385</v>
      </c>
      <c r="B18" t="s">
        <v>360</v>
      </c>
      <c r="C18" t="s">
        <v>361</v>
      </c>
      <c r="D18" t="s">
        <v>362</v>
      </c>
      <c r="E18" t="s">
        <v>363</v>
      </c>
      <c r="F18">
        <v>2020</v>
      </c>
      <c r="G18" t="s">
        <v>344</v>
      </c>
      <c r="I18" t="s">
        <v>332</v>
      </c>
      <c r="K18" t="s">
        <v>180</v>
      </c>
      <c r="L18" t="s">
        <v>181</v>
      </c>
      <c r="M18" t="s">
        <v>364</v>
      </c>
      <c r="N18" t="s">
        <v>193</v>
      </c>
      <c r="O18" t="s">
        <v>190</v>
      </c>
      <c r="P18" t="s">
        <v>365</v>
      </c>
      <c r="Q18" t="s">
        <v>187</v>
      </c>
      <c r="S18" t="s">
        <v>204</v>
      </c>
      <c r="U18" t="s">
        <v>1117</v>
      </c>
      <c r="V18" t="s">
        <v>267</v>
      </c>
      <c r="W18" t="s">
        <v>376</v>
      </c>
      <c r="X18" t="s">
        <v>269</v>
      </c>
      <c r="AE18" t="s">
        <v>273</v>
      </c>
      <c r="AG18" t="s">
        <v>275</v>
      </c>
      <c r="AI18" t="s">
        <v>345</v>
      </c>
      <c r="AK18">
        <v>12</v>
      </c>
      <c r="AL18" t="s">
        <v>366</v>
      </c>
      <c r="AM18">
        <v>39</v>
      </c>
      <c r="AN18" t="s">
        <v>367</v>
      </c>
      <c r="AO18" t="s">
        <v>1106</v>
      </c>
      <c r="AP18" t="s">
        <v>282</v>
      </c>
      <c r="AQ18" t="s">
        <v>283</v>
      </c>
      <c r="AR18" t="s">
        <v>368</v>
      </c>
      <c r="AS18" t="s">
        <v>1094</v>
      </c>
      <c r="AT18">
        <v>65</v>
      </c>
      <c r="AU18" t="s">
        <v>191</v>
      </c>
      <c r="AV18" s="30">
        <v>1</v>
      </c>
      <c r="AW18" t="s">
        <v>287</v>
      </c>
      <c r="AX18" t="s">
        <v>191</v>
      </c>
      <c r="AZ18" t="s">
        <v>829</v>
      </c>
      <c r="BA18">
        <v>0</v>
      </c>
      <c r="BB18" t="s">
        <v>289</v>
      </c>
      <c r="BC18" t="s">
        <v>243</v>
      </c>
      <c r="BE18" t="s">
        <v>559</v>
      </c>
      <c r="BF18" t="s">
        <v>291</v>
      </c>
      <c r="BG18" t="s">
        <v>297</v>
      </c>
      <c r="BH18" t="s">
        <v>191</v>
      </c>
      <c r="BI18">
        <v>1</v>
      </c>
      <c r="BJ18" t="s">
        <v>370</v>
      </c>
      <c r="BK18" t="s">
        <v>393</v>
      </c>
      <c r="BL18" t="s">
        <v>377</v>
      </c>
      <c r="BM18" t="s">
        <v>378</v>
      </c>
      <c r="BN18" t="str">
        <f t="shared" si="0"/>
        <v>EENM_EECM</v>
      </c>
      <c r="BO18" t="s">
        <v>268</v>
      </c>
      <c r="BQ18">
        <v>8</v>
      </c>
      <c r="BR18">
        <v>8</v>
      </c>
      <c r="BS18" s="35">
        <v>71.041055720000003</v>
      </c>
      <c r="BT18" s="35">
        <v>7.0381231670000002</v>
      </c>
      <c r="BU18" s="35">
        <v>19.906818470000001</v>
      </c>
      <c r="BV18" s="35"/>
      <c r="BW18" s="35">
        <v>85.777126100000004</v>
      </c>
      <c r="BX18" s="35">
        <v>6.3782991200000003</v>
      </c>
      <c r="BY18" s="35">
        <v>18.040554239999999</v>
      </c>
      <c r="CB18" t="s">
        <v>268</v>
      </c>
      <c r="CD18" t="s">
        <v>268</v>
      </c>
      <c r="CE18" t="s">
        <v>191</v>
      </c>
      <c r="CF18" t="s">
        <v>309</v>
      </c>
      <c r="CG18" t="s">
        <v>268</v>
      </c>
      <c r="CI18" t="s">
        <v>268</v>
      </c>
      <c r="CK18" s="30">
        <f t="shared" si="1"/>
        <v>1</v>
      </c>
      <c r="CL18">
        <f t="shared" si="2"/>
        <v>3</v>
      </c>
    </row>
    <row r="19" spans="1:90" hidden="1" x14ac:dyDescent="0.35">
      <c r="A19" t="s">
        <v>386</v>
      </c>
      <c r="B19" t="s">
        <v>360</v>
      </c>
      <c r="C19" t="s">
        <v>361</v>
      </c>
      <c r="D19" t="s">
        <v>362</v>
      </c>
      <c r="E19" t="s">
        <v>363</v>
      </c>
      <c r="F19">
        <v>2020</v>
      </c>
      <c r="G19" t="s">
        <v>344</v>
      </c>
      <c r="I19" t="s">
        <v>333</v>
      </c>
      <c r="K19" t="s">
        <v>180</v>
      </c>
      <c r="L19" t="s">
        <v>181</v>
      </c>
      <c r="M19" t="s">
        <v>364</v>
      </c>
      <c r="N19" t="s">
        <v>193</v>
      </c>
      <c r="O19" t="s">
        <v>190</v>
      </c>
      <c r="P19" t="s">
        <v>365</v>
      </c>
      <c r="Q19" t="s">
        <v>187</v>
      </c>
      <c r="S19" t="s">
        <v>204</v>
      </c>
      <c r="U19" t="s">
        <v>1117</v>
      </c>
      <c r="V19" t="s">
        <v>267</v>
      </c>
      <c r="W19" t="s">
        <v>376</v>
      </c>
      <c r="X19" t="s">
        <v>269</v>
      </c>
      <c r="AE19" t="s">
        <v>273</v>
      </c>
      <c r="AG19" t="s">
        <v>275</v>
      </c>
      <c r="AI19" t="s">
        <v>345</v>
      </c>
      <c r="AK19">
        <v>12</v>
      </c>
      <c r="AL19" t="s">
        <v>366</v>
      </c>
      <c r="AM19">
        <v>39</v>
      </c>
      <c r="AN19" t="s">
        <v>367</v>
      </c>
      <c r="AO19" t="s">
        <v>1106</v>
      </c>
      <c r="AP19" t="s">
        <v>282</v>
      </c>
      <c r="AQ19" t="s">
        <v>283</v>
      </c>
      <c r="AR19" t="s">
        <v>368</v>
      </c>
      <c r="AS19" t="s">
        <v>1094</v>
      </c>
      <c r="AT19">
        <v>65</v>
      </c>
      <c r="AU19" t="s">
        <v>191</v>
      </c>
      <c r="AV19" s="30">
        <v>1</v>
      </c>
      <c r="AW19" t="s">
        <v>287</v>
      </c>
      <c r="AX19" t="s">
        <v>191</v>
      </c>
      <c r="AZ19" t="s">
        <v>829</v>
      </c>
      <c r="BA19">
        <v>0</v>
      </c>
      <c r="BB19" t="s">
        <v>289</v>
      </c>
      <c r="BC19" t="s">
        <v>243</v>
      </c>
      <c r="BE19" t="s">
        <v>374</v>
      </c>
      <c r="BF19" t="s">
        <v>292</v>
      </c>
      <c r="BG19" t="s">
        <v>298</v>
      </c>
      <c r="BH19" t="s">
        <v>191</v>
      </c>
      <c r="BI19">
        <v>1</v>
      </c>
      <c r="BJ19" t="s">
        <v>370</v>
      </c>
      <c r="BK19" t="s">
        <v>394</v>
      </c>
      <c r="BL19" t="s">
        <v>377</v>
      </c>
      <c r="BM19" t="s">
        <v>378</v>
      </c>
      <c r="BN19" t="str">
        <f t="shared" si="0"/>
        <v>EENM_EECM</v>
      </c>
      <c r="BO19" t="s">
        <v>268</v>
      </c>
      <c r="BP19" t="s">
        <v>375</v>
      </c>
      <c r="BQ19">
        <v>8</v>
      </c>
      <c r="BR19">
        <v>8</v>
      </c>
      <c r="BS19" s="35">
        <v>0.29346733699999999</v>
      </c>
      <c r="BT19" s="35">
        <v>4.0201004999999998E-2</v>
      </c>
      <c r="BU19" s="35">
        <v>0.113705613</v>
      </c>
      <c r="BV19" s="35"/>
      <c r="BW19" s="35">
        <v>0.34706867699999999</v>
      </c>
      <c r="BX19" s="35">
        <v>2.6800669999999999E-2</v>
      </c>
      <c r="BY19" s="35">
        <v>7.5803741999999993E-2</v>
      </c>
      <c r="CB19" t="s">
        <v>268</v>
      </c>
      <c r="CD19" t="s">
        <v>268</v>
      </c>
      <c r="CE19" t="s">
        <v>191</v>
      </c>
      <c r="CF19" t="s">
        <v>309</v>
      </c>
      <c r="CG19" t="s">
        <v>268</v>
      </c>
      <c r="CI19" t="s">
        <v>268</v>
      </c>
      <c r="CK19" s="30">
        <f t="shared" si="1"/>
        <v>1</v>
      </c>
      <c r="CL19">
        <f t="shared" si="2"/>
        <v>3</v>
      </c>
    </row>
    <row r="20" spans="1:90" hidden="1" x14ac:dyDescent="0.35">
      <c r="A20" t="s">
        <v>399</v>
      </c>
      <c r="B20" t="s">
        <v>360</v>
      </c>
      <c r="C20" t="s">
        <v>361</v>
      </c>
      <c r="D20" t="s">
        <v>362</v>
      </c>
      <c r="E20" t="s">
        <v>363</v>
      </c>
      <c r="F20">
        <v>2020</v>
      </c>
      <c r="G20" t="s">
        <v>175</v>
      </c>
      <c r="I20" t="s">
        <v>176</v>
      </c>
      <c r="K20" t="s">
        <v>180</v>
      </c>
      <c r="L20" t="s">
        <v>181</v>
      </c>
      <c r="M20" t="s">
        <v>364</v>
      </c>
      <c r="N20" t="s">
        <v>193</v>
      </c>
      <c r="O20" t="s">
        <v>190</v>
      </c>
      <c r="P20" t="s">
        <v>365</v>
      </c>
      <c r="Q20" t="s">
        <v>187</v>
      </c>
      <c r="S20" t="s">
        <v>204</v>
      </c>
      <c r="U20" t="s">
        <v>1117</v>
      </c>
      <c r="V20" t="s">
        <v>268</v>
      </c>
      <c r="X20" t="s">
        <v>269</v>
      </c>
      <c r="AE20" t="s">
        <v>273</v>
      </c>
      <c r="AG20" t="s">
        <v>275</v>
      </c>
      <c r="AI20" t="s">
        <v>345</v>
      </c>
      <c r="AK20">
        <v>12</v>
      </c>
      <c r="AL20" t="s">
        <v>366</v>
      </c>
      <c r="AM20">
        <v>39</v>
      </c>
      <c r="AN20" t="s">
        <v>367</v>
      </c>
      <c r="AO20" t="s">
        <v>1106</v>
      </c>
      <c r="AP20" t="s">
        <v>282</v>
      </c>
      <c r="AQ20" t="s">
        <v>283</v>
      </c>
      <c r="AR20" t="s">
        <v>368</v>
      </c>
      <c r="AS20" t="s">
        <v>1094</v>
      </c>
      <c r="AT20">
        <v>65</v>
      </c>
      <c r="AU20" t="s">
        <v>191</v>
      </c>
      <c r="AV20" s="30">
        <v>1</v>
      </c>
      <c r="AW20" t="s">
        <v>287</v>
      </c>
      <c r="AX20" t="s">
        <v>191</v>
      </c>
      <c r="AZ20" t="s">
        <v>829</v>
      </c>
      <c r="BA20">
        <v>0</v>
      </c>
      <c r="BB20" t="s">
        <v>289</v>
      </c>
      <c r="BC20" t="s">
        <v>239</v>
      </c>
      <c r="BD20" t="s">
        <v>388</v>
      </c>
      <c r="BE20" t="s">
        <v>387</v>
      </c>
      <c r="BF20" t="s">
        <v>291</v>
      </c>
      <c r="BG20" t="s">
        <v>389</v>
      </c>
      <c r="BH20" t="s">
        <v>191</v>
      </c>
      <c r="BI20">
        <v>1</v>
      </c>
      <c r="BJ20" t="s">
        <v>315</v>
      </c>
      <c r="BK20" t="s">
        <v>395</v>
      </c>
      <c r="BL20" t="s">
        <v>371</v>
      </c>
      <c r="BM20" t="s">
        <v>372</v>
      </c>
      <c r="BN20" t="str">
        <f t="shared" si="0"/>
        <v>IENM_IECM</v>
      </c>
      <c r="BO20" t="s">
        <v>268</v>
      </c>
      <c r="BP20" t="s">
        <v>390</v>
      </c>
      <c r="BQ20">
        <v>8</v>
      </c>
      <c r="BR20">
        <v>8</v>
      </c>
      <c r="BS20" s="35">
        <v>0.409953344</v>
      </c>
      <c r="BT20" s="35">
        <v>9.8911352999999994E-2</v>
      </c>
      <c r="BU20" s="35">
        <v>0.27976355400000003</v>
      </c>
      <c r="BV20" s="35"/>
      <c r="BW20" s="35">
        <v>0.39502332800000001</v>
      </c>
      <c r="BX20" s="35">
        <v>7.2783825999999996E-2</v>
      </c>
      <c r="BY20" s="35">
        <v>0.20586374700000001</v>
      </c>
      <c r="CB20" t="s">
        <v>268</v>
      </c>
      <c r="CD20" t="s">
        <v>268</v>
      </c>
      <c r="CE20" t="s">
        <v>191</v>
      </c>
      <c r="CF20" t="s">
        <v>309</v>
      </c>
      <c r="CG20" t="s">
        <v>268</v>
      </c>
      <c r="CI20" t="s">
        <v>268</v>
      </c>
      <c r="CK20" s="30">
        <f t="shared" si="1"/>
        <v>1</v>
      </c>
      <c r="CL20">
        <f t="shared" si="2"/>
        <v>3</v>
      </c>
    </row>
    <row r="21" spans="1:90" hidden="1" x14ac:dyDescent="0.35">
      <c r="A21" t="s">
        <v>400</v>
      </c>
      <c r="B21" t="s">
        <v>360</v>
      </c>
      <c r="C21" t="s">
        <v>361</v>
      </c>
      <c r="D21" t="s">
        <v>362</v>
      </c>
      <c r="E21" t="s">
        <v>363</v>
      </c>
      <c r="F21">
        <v>2020</v>
      </c>
      <c r="G21" t="s">
        <v>175</v>
      </c>
      <c r="I21" t="s">
        <v>331</v>
      </c>
      <c r="K21" t="s">
        <v>180</v>
      </c>
      <c r="L21" t="s">
        <v>181</v>
      </c>
      <c r="M21" t="s">
        <v>364</v>
      </c>
      <c r="N21" t="s">
        <v>193</v>
      </c>
      <c r="O21" t="s">
        <v>190</v>
      </c>
      <c r="P21" t="s">
        <v>365</v>
      </c>
      <c r="Q21" t="s">
        <v>187</v>
      </c>
      <c r="S21" t="s">
        <v>204</v>
      </c>
      <c r="U21" t="s">
        <v>1117</v>
      </c>
      <c r="V21" t="s">
        <v>268</v>
      </c>
      <c r="X21" t="s">
        <v>269</v>
      </c>
      <c r="AE21" t="s">
        <v>273</v>
      </c>
      <c r="AG21" t="s">
        <v>275</v>
      </c>
      <c r="AI21" t="s">
        <v>345</v>
      </c>
      <c r="AK21">
        <v>12</v>
      </c>
      <c r="AL21" t="s">
        <v>366</v>
      </c>
      <c r="AM21">
        <v>39</v>
      </c>
      <c r="AN21" t="s">
        <v>367</v>
      </c>
      <c r="AO21" t="s">
        <v>1106</v>
      </c>
      <c r="AP21" t="s">
        <v>282</v>
      </c>
      <c r="AQ21" t="s">
        <v>283</v>
      </c>
      <c r="AR21" t="s">
        <v>368</v>
      </c>
      <c r="AS21" t="s">
        <v>1094</v>
      </c>
      <c r="AT21">
        <v>65</v>
      </c>
      <c r="AU21" t="s">
        <v>191</v>
      </c>
      <c r="AV21" s="30">
        <v>1</v>
      </c>
      <c r="AW21" t="s">
        <v>287</v>
      </c>
      <c r="AX21" t="s">
        <v>191</v>
      </c>
      <c r="AZ21" t="s">
        <v>829</v>
      </c>
      <c r="BA21">
        <v>0</v>
      </c>
      <c r="BB21" t="s">
        <v>289</v>
      </c>
      <c r="BC21" t="s">
        <v>239</v>
      </c>
      <c r="BE21" t="s">
        <v>559</v>
      </c>
      <c r="BF21" t="s">
        <v>291</v>
      </c>
      <c r="BG21" t="s">
        <v>297</v>
      </c>
      <c r="BH21" t="s">
        <v>191</v>
      </c>
      <c r="BI21">
        <v>1</v>
      </c>
      <c r="BJ21" t="s">
        <v>315</v>
      </c>
      <c r="BK21" t="s">
        <v>396</v>
      </c>
      <c r="BL21" t="s">
        <v>371</v>
      </c>
      <c r="BM21" t="s">
        <v>372</v>
      </c>
      <c r="BN21" t="str">
        <f t="shared" si="0"/>
        <v>IENM_IECM</v>
      </c>
      <c r="BO21" t="s">
        <v>268</v>
      </c>
      <c r="BQ21">
        <v>8</v>
      </c>
      <c r="BR21">
        <v>8</v>
      </c>
      <c r="BS21" s="35">
        <v>68.313953490000003</v>
      </c>
      <c r="BT21" s="35">
        <v>13.80813953</v>
      </c>
      <c r="BU21" s="35">
        <v>39.055316400000002</v>
      </c>
      <c r="BV21" s="35"/>
      <c r="BW21" s="35">
        <v>207.4854651</v>
      </c>
      <c r="BX21" s="35">
        <v>12.718023260000001</v>
      </c>
      <c r="BY21" s="35">
        <v>35.972001949999999</v>
      </c>
      <c r="CB21" t="s">
        <v>268</v>
      </c>
      <c r="CD21" t="s">
        <v>268</v>
      </c>
      <c r="CE21" t="s">
        <v>191</v>
      </c>
      <c r="CF21" t="s">
        <v>309</v>
      </c>
      <c r="CG21" t="s">
        <v>268</v>
      </c>
      <c r="CI21" t="s">
        <v>268</v>
      </c>
      <c r="CK21" s="30">
        <f t="shared" si="1"/>
        <v>1</v>
      </c>
      <c r="CL21">
        <f t="shared" si="2"/>
        <v>3</v>
      </c>
    </row>
    <row r="22" spans="1:90" hidden="1" x14ac:dyDescent="0.35">
      <c r="A22" t="s">
        <v>401</v>
      </c>
      <c r="B22" t="s">
        <v>360</v>
      </c>
      <c r="C22" t="s">
        <v>361</v>
      </c>
      <c r="D22" t="s">
        <v>362</v>
      </c>
      <c r="E22" t="s">
        <v>363</v>
      </c>
      <c r="F22">
        <v>2020</v>
      </c>
      <c r="G22" t="s">
        <v>175</v>
      </c>
      <c r="I22" t="s">
        <v>332</v>
      </c>
      <c r="K22" t="s">
        <v>180</v>
      </c>
      <c r="L22" t="s">
        <v>181</v>
      </c>
      <c r="M22" t="s">
        <v>364</v>
      </c>
      <c r="N22" t="s">
        <v>193</v>
      </c>
      <c r="O22" t="s">
        <v>190</v>
      </c>
      <c r="P22" t="s">
        <v>365</v>
      </c>
      <c r="Q22" t="s">
        <v>187</v>
      </c>
      <c r="S22" t="s">
        <v>204</v>
      </c>
      <c r="U22" t="s">
        <v>1117</v>
      </c>
      <c r="V22" t="s">
        <v>268</v>
      </c>
      <c r="X22" t="s">
        <v>269</v>
      </c>
      <c r="AE22" t="s">
        <v>273</v>
      </c>
      <c r="AG22" t="s">
        <v>275</v>
      </c>
      <c r="AI22" t="s">
        <v>345</v>
      </c>
      <c r="AK22">
        <v>12</v>
      </c>
      <c r="AL22" t="s">
        <v>366</v>
      </c>
      <c r="AM22">
        <v>39</v>
      </c>
      <c r="AN22" t="s">
        <v>367</v>
      </c>
      <c r="AO22" t="s">
        <v>1106</v>
      </c>
      <c r="AP22" t="s">
        <v>282</v>
      </c>
      <c r="AQ22" t="s">
        <v>283</v>
      </c>
      <c r="AR22" t="s">
        <v>368</v>
      </c>
      <c r="AS22" t="s">
        <v>1094</v>
      </c>
      <c r="AT22">
        <v>65</v>
      </c>
      <c r="AU22" t="s">
        <v>191</v>
      </c>
      <c r="AV22" s="30">
        <v>1</v>
      </c>
      <c r="AW22" t="s">
        <v>287</v>
      </c>
      <c r="AX22" t="s">
        <v>191</v>
      </c>
      <c r="AZ22" t="s">
        <v>829</v>
      </c>
      <c r="BA22">
        <v>0</v>
      </c>
      <c r="BB22" t="s">
        <v>289</v>
      </c>
      <c r="BC22" t="s">
        <v>239</v>
      </c>
      <c r="BE22" t="s">
        <v>398</v>
      </c>
      <c r="BF22" t="s">
        <v>291</v>
      </c>
      <c r="BG22" t="s">
        <v>297</v>
      </c>
      <c r="BH22" t="s">
        <v>191</v>
      </c>
      <c r="BI22">
        <v>1</v>
      </c>
      <c r="BJ22" t="s">
        <v>315</v>
      </c>
      <c r="BK22" t="s">
        <v>397</v>
      </c>
      <c r="BL22" t="s">
        <v>371</v>
      </c>
      <c r="BM22" t="s">
        <v>372</v>
      </c>
      <c r="BN22" t="str">
        <f t="shared" si="0"/>
        <v>IENM_IECM</v>
      </c>
      <c r="BO22" t="s">
        <v>268</v>
      </c>
      <c r="BQ22">
        <v>8</v>
      </c>
      <c r="BR22">
        <v>8</v>
      </c>
      <c r="BS22" s="35">
        <v>59.665144599999998</v>
      </c>
      <c r="BT22" s="35">
        <v>4.9923896499999998</v>
      </c>
      <c r="BU22" s="35">
        <v>14.120610299999999</v>
      </c>
      <c r="BV22" s="35"/>
      <c r="BW22" s="35">
        <v>45.296803650000001</v>
      </c>
      <c r="BX22" s="35">
        <v>5.844748858</v>
      </c>
      <c r="BY22" s="35">
        <v>16.531446209999999</v>
      </c>
      <c r="CB22" t="s">
        <v>268</v>
      </c>
      <c r="CD22" t="s">
        <v>268</v>
      </c>
      <c r="CE22" t="s">
        <v>191</v>
      </c>
      <c r="CF22" t="s">
        <v>309</v>
      </c>
      <c r="CG22" t="s">
        <v>268</v>
      </c>
      <c r="CI22" t="s">
        <v>268</v>
      </c>
      <c r="CK22" s="30">
        <f t="shared" si="1"/>
        <v>1</v>
      </c>
      <c r="CL22">
        <f t="shared" si="2"/>
        <v>3</v>
      </c>
    </row>
    <row r="23" spans="1:90" hidden="1" x14ac:dyDescent="0.35">
      <c r="A23" t="s">
        <v>402</v>
      </c>
      <c r="B23" t="s">
        <v>360</v>
      </c>
      <c r="C23" t="s">
        <v>361</v>
      </c>
      <c r="D23" t="s">
        <v>362</v>
      </c>
      <c r="E23" t="s">
        <v>363</v>
      </c>
      <c r="F23">
        <v>2020</v>
      </c>
      <c r="G23" t="s">
        <v>344</v>
      </c>
      <c r="I23" t="s">
        <v>331</v>
      </c>
      <c r="K23" t="s">
        <v>180</v>
      </c>
      <c r="L23" t="s">
        <v>181</v>
      </c>
      <c r="M23" t="s">
        <v>364</v>
      </c>
      <c r="N23" t="s">
        <v>193</v>
      </c>
      <c r="O23" t="s">
        <v>190</v>
      </c>
      <c r="P23" t="s">
        <v>365</v>
      </c>
      <c r="Q23" t="s">
        <v>187</v>
      </c>
      <c r="S23" t="s">
        <v>204</v>
      </c>
      <c r="U23" t="s">
        <v>1117</v>
      </c>
      <c r="V23" t="s">
        <v>267</v>
      </c>
      <c r="W23" t="s">
        <v>376</v>
      </c>
      <c r="X23" t="s">
        <v>269</v>
      </c>
      <c r="AE23" t="s">
        <v>273</v>
      </c>
      <c r="AG23" t="s">
        <v>275</v>
      </c>
      <c r="AI23" t="s">
        <v>345</v>
      </c>
      <c r="AK23">
        <v>12</v>
      </c>
      <c r="AL23" t="s">
        <v>366</v>
      </c>
      <c r="AM23">
        <v>39</v>
      </c>
      <c r="AN23" t="s">
        <v>367</v>
      </c>
      <c r="AO23" t="s">
        <v>1106</v>
      </c>
      <c r="AP23" t="s">
        <v>282</v>
      </c>
      <c r="AQ23" t="s">
        <v>283</v>
      </c>
      <c r="AR23" t="s">
        <v>368</v>
      </c>
      <c r="AS23" t="s">
        <v>1094</v>
      </c>
      <c r="AT23">
        <v>65</v>
      </c>
      <c r="AU23" t="s">
        <v>191</v>
      </c>
      <c r="AV23" s="30">
        <v>1</v>
      </c>
      <c r="AW23" t="s">
        <v>287</v>
      </c>
      <c r="AX23" t="s">
        <v>191</v>
      </c>
      <c r="AZ23" t="s">
        <v>829</v>
      </c>
      <c r="BA23">
        <v>0</v>
      </c>
      <c r="BB23" t="s">
        <v>289</v>
      </c>
      <c r="BC23" t="s">
        <v>239</v>
      </c>
      <c r="BE23" t="s">
        <v>559</v>
      </c>
      <c r="BF23" t="s">
        <v>291</v>
      </c>
      <c r="BG23" t="s">
        <v>297</v>
      </c>
      <c r="BH23" t="s">
        <v>191</v>
      </c>
      <c r="BI23">
        <v>1</v>
      </c>
      <c r="BJ23" t="s">
        <v>315</v>
      </c>
      <c r="BK23" t="s">
        <v>396</v>
      </c>
      <c r="BL23" t="s">
        <v>377</v>
      </c>
      <c r="BM23" t="s">
        <v>378</v>
      </c>
      <c r="BN23" t="str">
        <f t="shared" si="0"/>
        <v>EENM_EECM</v>
      </c>
      <c r="BO23" t="s">
        <v>268</v>
      </c>
      <c r="BQ23">
        <v>8</v>
      </c>
      <c r="BR23">
        <v>8</v>
      </c>
      <c r="BS23" s="35">
        <v>82.848837209999999</v>
      </c>
      <c r="BT23" s="35">
        <v>7.9941860470000004</v>
      </c>
      <c r="BU23" s="35">
        <v>22.610972650000001</v>
      </c>
      <c r="BV23" s="35"/>
      <c r="BW23" s="35">
        <v>122.0930233</v>
      </c>
      <c r="BX23" s="35">
        <v>10.5377907</v>
      </c>
      <c r="BY23" s="35">
        <v>29.805373039999999</v>
      </c>
      <c r="CB23" t="s">
        <v>268</v>
      </c>
      <c r="CD23" t="s">
        <v>268</v>
      </c>
      <c r="CE23" t="s">
        <v>191</v>
      </c>
      <c r="CF23" t="s">
        <v>309</v>
      </c>
      <c r="CG23" t="s">
        <v>268</v>
      </c>
      <c r="CI23" t="s">
        <v>268</v>
      </c>
      <c r="CK23" s="30">
        <f t="shared" si="1"/>
        <v>1</v>
      </c>
      <c r="CL23">
        <f t="shared" si="2"/>
        <v>3</v>
      </c>
    </row>
    <row r="24" spans="1:90" hidden="1" x14ac:dyDescent="0.35">
      <c r="A24" t="s">
        <v>403</v>
      </c>
      <c r="B24" t="s">
        <v>360</v>
      </c>
      <c r="C24" t="s">
        <v>361</v>
      </c>
      <c r="D24" t="s">
        <v>362</v>
      </c>
      <c r="E24" t="s">
        <v>363</v>
      </c>
      <c r="F24">
        <v>2020</v>
      </c>
      <c r="G24" t="s">
        <v>344</v>
      </c>
      <c r="I24" t="s">
        <v>332</v>
      </c>
      <c r="K24" t="s">
        <v>180</v>
      </c>
      <c r="L24" t="s">
        <v>181</v>
      </c>
      <c r="M24" t="s">
        <v>364</v>
      </c>
      <c r="N24" t="s">
        <v>193</v>
      </c>
      <c r="O24" t="s">
        <v>190</v>
      </c>
      <c r="P24" t="s">
        <v>365</v>
      </c>
      <c r="Q24" t="s">
        <v>187</v>
      </c>
      <c r="S24" t="s">
        <v>204</v>
      </c>
      <c r="U24" t="s">
        <v>1117</v>
      </c>
      <c r="V24" t="s">
        <v>267</v>
      </c>
      <c r="W24" t="s">
        <v>376</v>
      </c>
      <c r="X24" t="s">
        <v>269</v>
      </c>
      <c r="AE24" t="s">
        <v>273</v>
      </c>
      <c r="AG24" t="s">
        <v>275</v>
      </c>
      <c r="AI24" t="s">
        <v>345</v>
      </c>
      <c r="AK24">
        <v>12</v>
      </c>
      <c r="AL24" t="s">
        <v>366</v>
      </c>
      <c r="AM24">
        <v>39</v>
      </c>
      <c r="AN24" t="s">
        <v>367</v>
      </c>
      <c r="AO24" t="s">
        <v>1106</v>
      </c>
      <c r="AP24" t="s">
        <v>282</v>
      </c>
      <c r="AQ24" t="s">
        <v>283</v>
      </c>
      <c r="AR24" t="s">
        <v>368</v>
      </c>
      <c r="AS24" t="s">
        <v>1094</v>
      </c>
      <c r="AT24">
        <v>65</v>
      </c>
      <c r="AU24" t="s">
        <v>191</v>
      </c>
      <c r="AV24" s="30">
        <v>1</v>
      </c>
      <c r="AW24" t="s">
        <v>287</v>
      </c>
      <c r="AX24" t="s">
        <v>191</v>
      </c>
      <c r="AZ24" t="s">
        <v>829</v>
      </c>
      <c r="BA24">
        <v>0</v>
      </c>
      <c r="BB24" t="s">
        <v>289</v>
      </c>
      <c r="BC24" t="s">
        <v>239</v>
      </c>
      <c r="BE24" t="s">
        <v>398</v>
      </c>
      <c r="BF24" t="s">
        <v>291</v>
      </c>
      <c r="BG24" t="s">
        <v>297</v>
      </c>
      <c r="BH24" t="s">
        <v>191</v>
      </c>
      <c r="BI24">
        <v>1</v>
      </c>
      <c r="BJ24" t="s">
        <v>315</v>
      </c>
      <c r="BK24" t="s">
        <v>397</v>
      </c>
      <c r="BL24" t="s">
        <v>377</v>
      </c>
      <c r="BM24" t="s">
        <v>378</v>
      </c>
      <c r="BN24" t="str">
        <f t="shared" si="0"/>
        <v>EENM_EECM</v>
      </c>
      <c r="BO24" t="s">
        <v>268</v>
      </c>
      <c r="BQ24">
        <v>8</v>
      </c>
      <c r="BR24">
        <v>8</v>
      </c>
      <c r="BS24" s="35">
        <v>51.75038052</v>
      </c>
      <c r="BT24" s="35">
        <v>7.1841704719999999</v>
      </c>
      <c r="BU24" s="35">
        <v>20.319902630000001</v>
      </c>
      <c r="BV24" s="35"/>
      <c r="BW24" s="35">
        <v>37.503805180000001</v>
      </c>
      <c r="BX24" s="35">
        <v>3.8964992390000002</v>
      </c>
      <c r="BY24" s="35">
        <v>11.02096414</v>
      </c>
      <c r="CB24" t="s">
        <v>268</v>
      </c>
      <c r="CD24" t="s">
        <v>268</v>
      </c>
      <c r="CE24" t="s">
        <v>191</v>
      </c>
      <c r="CF24" t="s">
        <v>309</v>
      </c>
      <c r="CG24" t="s">
        <v>268</v>
      </c>
      <c r="CI24" t="s">
        <v>268</v>
      </c>
      <c r="CK24" s="30">
        <f t="shared" si="1"/>
        <v>1</v>
      </c>
      <c r="CL24">
        <f t="shared" si="2"/>
        <v>3</v>
      </c>
    </row>
    <row r="25" spans="1:90" hidden="1" x14ac:dyDescent="0.35">
      <c r="A25" t="s">
        <v>424</v>
      </c>
      <c r="B25" t="s">
        <v>404</v>
      </c>
      <c r="C25" t="s">
        <v>405</v>
      </c>
      <c r="D25" t="s">
        <v>406</v>
      </c>
      <c r="E25" t="s">
        <v>407</v>
      </c>
      <c r="F25">
        <v>2021</v>
      </c>
      <c r="G25" t="s">
        <v>175</v>
      </c>
      <c r="I25" t="s">
        <v>176</v>
      </c>
      <c r="K25" t="s">
        <v>178</v>
      </c>
      <c r="L25" t="s">
        <v>177</v>
      </c>
      <c r="M25" t="s">
        <v>1125</v>
      </c>
      <c r="N25" t="s">
        <v>179</v>
      </c>
      <c r="O25" t="s">
        <v>188</v>
      </c>
      <c r="Q25" t="s">
        <v>188</v>
      </c>
      <c r="S25" t="s">
        <v>204</v>
      </c>
      <c r="U25" t="s">
        <v>1117</v>
      </c>
      <c r="V25" t="s">
        <v>268</v>
      </c>
      <c r="X25" t="s">
        <v>269</v>
      </c>
      <c r="AE25" t="s">
        <v>273</v>
      </c>
      <c r="AG25" t="s">
        <v>275</v>
      </c>
      <c r="AI25" t="s">
        <v>345</v>
      </c>
      <c r="AK25">
        <v>12</v>
      </c>
      <c r="AM25">
        <v>7</v>
      </c>
      <c r="AN25" t="s">
        <v>411</v>
      </c>
      <c r="AO25" t="s">
        <v>1104</v>
      </c>
      <c r="AP25" t="s">
        <v>281</v>
      </c>
      <c r="AQ25" t="s">
        <v>283</v>
      </c>
      <c r="AR25" t="s">
        <v>412</v>
      </c>
      <c r="AS25" t="s">
        <v>1094</v>
      </c>
      <c r="AT25" t="s">
        <v>191</v>
      </c>
      <c r="AU25" t="s">
        <v>191</v>
      </c>
      <c r="AV25" s="30">
        <v>0</v>
      </c>
      <c r="AW25" t="s">
        <v>287</v>
      </c>
      <c r="AX25" t="s">
        <v>191</v>
      </c>
      <c r="AZ25" t="s">
        <v>829</v>
      </c>
      <c r="BA25">
        <v>0</v>
      </c>
      <c r="BB25" t="s">
        <v>289</v>
      </c>
      <c r="BC25" t="s">
        <v>243</v>
      </c>
      <c r="BE25" t="s">
        <v>416</v>
      </c>
      <c r="BF25" t="s">
        <v>291</v>
      </c>
      <c r="BG25" t="s">
        <v>297</v>
      </c>
      <c r="BH25" t="s">
        <v>281</v>
      </c>
      <c r="BI25">
        <v>2</v>
      </c>
      <c r="BJ25" t="s">
        <v>370</v>
      </c>
      <c r="BK25" t="s">
        <v>413</v>
      </c>
      <c r="BL25" t="s">
        <v>414</v>
      </c>
      <c r="BM25" t="s">
        <v>415</v>
      </c>
      <c r="BN25" t="str">
        <f t="shared" si="0"/>
        <v>control_music</v>
      </c>
      <c r="BO25" t="s">
        <v>267</v>
      </c>
      <c r="BQ25">
        <v>14</v>
      </c>
      <c r="BR25">
        <v>14</v>
      </c>
      <c r="BS25" s="35">
        <v>13.5</v>
      </c>
      <c r="BT25" s="35">
        <v>1.036516854</v>
      </c>
      <c r="BU25" s="35">
        <v>3.8782909430000001</v>
      </c>
      <c r="BV25" s="35"/>
      <c r="BW25" s="35">
        <v>15.446629209999999</v>
      </c>
      <c r="BX25" s="35">
        <v>0.83426966300000005</v>
      </c>
      <c r="BY25" s="35">
        <v>3.1215512470000002</v>
      </c>
      <c r="CB25" t="s">
        <v>268</v>
      </c>
      <c r="CD25" t="s">
        <v>268</v>
      </c>
      <c r="CE25" t="s">
        <v>267</v>
      </c>
      <c r="CF25" t="s">
        <v>309</v>
      </c>
      <c r="CG25" t="s">
        <v>268</v>
      </c>
      <c r="CI25" t="s">
        <v>268</v>
      </c>
      <c r="CK25" s="30">
        <f t="shared" si="1"/>
        <v>2</v>
      </c>
      <c r="CL25">
        <f t="shared" si="2"/>
        <v>4</v>
      </c>
    </row>
    <row r="26" spans="1:90" hidden="1" x14ac:dyDescent="0.35">
      <c r="A26" t="s">
        <v>425</v>
      </c>
      <c r="B26" t="s">
        <v>404</v>
      </c>
      <c r="C26" t="s">
        <v>405</v>
      </c>
      <c r="D26" t="s">
        <v>406</v>
      </c>
      <c r="E26" t="s">
        <v>407</v>
      </c>
      <c r="F26">
        <v>2021</v>
      </c>
      <c r="G26" t="s">
        <v>175</v>
      </c>
      <c r="I26" t="s">
        <v>331</v>
      </c>
      <c r="K26" t="s">
        <v>178</v>
      </c>
      <c r="L26" t="s">
        <v>177</v>
      </c>
      <c r="M26" t="s">
        <v>1125</v>
      </c>
      <c r="N26" t="s">
        <v>179</v>
      </c>
      <c r="O26" t="s">
        <v>188</v>
      </c>
      <c r="Q26" t="s">
        <v>188</v>
      </c>
      <c r="S26" t="s">
        <v>204</v>
      </c>
      <c r="U26" t="s">
        <v>1117</v>
      </c>
      <c r="V26" t="s">
        <v>268</v>
      </c>
      <c r="X26" t="s">
        <v>269</v>
      </c>
      <c r="AE26" t="s">
        <v>273</v>
      </c>
      <c r="AG26" t="s">
        <v>275</v>
      </c>
      <c r="AI26" t="s">
        <v>345</v>
      </c>
      <c r="AK26">
        <v>12</v>
      </c>
      <c r="AM26">
        <v>7</v>
      </c>
      <c r="AN26" t="s">
        <v>411</v>
      </c>
      <c r="AO26" t="s">
        <v>1104</v>
      </c>
      <c r="AP26" t="s">
        <v>281</v>
      </c>
      <c r="AQ26" t="s">
        <v>283</v>
      </c>
      <c r="AR26" t="s">
        <v>412</v>
      </c>
      <c r="AS26" t="s">
        <v>1094</v>
      </c>
      <c r="AT26" t="s">
        <v>191</v>
      </c>
      <c r="AU26" t="s">
        <v>191</v>
      </c>
      <c r="AV26" s="30">
        <v>0</v>
      </c>
      <c r="AW26" t="s">
        <v>287</v>
      </c>
      <c r="AX26" t="s">
        <v>191</v>
      </c>
      <c r="AZ26" t="s">
        <v>829</v>
      </c>
      <c r="BA26">
        <v>0</v>
      </c>
      <c r="BB26" t="s">
        <v>289</v>
      </c>
      <c r="BC26" t="s">
        <v>243</v>
      </c>
      <c r="BE26" t="s">
        <v>434</v>
      </c>
      <c r="BF26" t="s">
        <v>293</v>
      </c>
      <c r="BG26" t="s">
        <v>299</v>
      </c>
      <c r="BH26" t="s">
        <v>281</v>
      </c>
      <c r="BI26">
        <v>2</v>
      </c>
      <c r="BJ26" t="s">
        <v>370</v>
      </c>
      <c r="BK26" t="s">
        <v>417</v>
      </c>
      <c r="BL26" t="s">
        <v>414</v>
      </c>
      <c r="BM26" t="s">
        <v>415</v>
      </c>
      <c r="BN26" t="str">
        <f t="shared" si="0"/>
        <v>control_music</v>
      </c>
      <c r="BO26" t="s">
        <v>267</v>
      </c>
      <c r="BQ26">
        <v>14</v>
      </c>
      <c r="BR26">
        <v>14</v>
      </c>
      <c r="BS26" s="35">
        <v>2567.5675679999999</v>
      </c>
      <c r="BT26" s="35">
        <v>117.1171171</v>
      </c>
      <c r="BU26" s="35">
        <v>438.21212639999999</v>
      </c>
      <c r="BV26" s="35"/>
      <c r="BW26" s="35">
        <v>2549.5495500000002</v>
      </c>
      <c r="BX26" s="35">
        <v>99.099099100000004</v>
      </c>
      <c r="BY26" s="35">
        <v>370.79487619999998</v>
      </c>
      <c r="CB26" t="s">
        <v>268</v>
      </c>
      <c r="CD26" t="s">
        <v>268</v>
      </c>
      <c r="CE26" t="s">
        <v>191</v>
      </c>
      <c r="CF26" t="s">
        <v>309</v>
      </c>
      <c r="CG26" t="s">
        <v>268</v>
      </c>
      <c r="CI26" t="s">
        <v>268</v>
      </c>
      <c r="CK26" s="30">
        <f>(CB26="Yes")+(CD26="Yes")+(CE26="Yes")+(CI26="No")</f>
        <v>1</v>
      </c>
      <c r="CL26">
        <f t="shared" si="2"/>
        <v>3</v>
      </c>
    </row>
    <row r="27" spans="1:90" hidden="1" x14ac:dyDescent="0.35">
      <c r="A27" t="s">
        <v>426</v>
      </c>
      <c r="B27" t="s">
        <v>404</v>
      </c>
      <c r="C27" t="s">
        <v>405</v>
      </c>
      <c r="D27" t="s">
        <v>406</v>
      </c>
      <c r="E27" t="s">
        <v>407</v>
      </c>
      <c r="F27">
        <v>2021</v>
      </c>
      <c r="G27" t="s">
        <v>175</v>
      </c>
      <c r="I27" t="s">
        <v>332</v>
      </c>
      <c r="K27" t="s">
        <v>178</v>
      </c>
      <c r="L27" t="s">
        <v>177</v>
      </c>
      <c r="M27" t="s">
        <v>1125</v>
      </c>
      <c r="N27" t="s">
        <v>179</v>
      </c>
      <c r="O27" t="s">
        <v>188</v>
      </c>
      <c r="Q27" t="s">
        <v>188</v>
      </c>
      <c r="S27" t="s">
        <v>204</v>
      </c>
      <c r="U27" t="s">
        <v>1117</v>
      </c>
      <c r="V27" t="s">
        <v>268</v>
      </c>
      <c r="X27" t="s">
        <v>269</v>
      </c>
      <c r="AE27" t="s">
        <v>273</v>
      </c>
      <c r="AG27" t="s">
        <v>275</v>
      </c>
      <c r="AI27" t="s">
        <v>345</v>
      </c>
      <c r="AK27">
        <v>12</v>
      </c>
      <c r="AM27">
        <v>7</v>
      </c>
      <c r="AN27" t="s">
        <v>411</v>
      </c>
      <c r="AO27" t="s">
        <v>1104</v>
      </c>
      <c r="AP27" t="s">
        <v>281</v>
      </c>
      <c r="AQ27" t="s">
        <v>283</v>
      </c>
      <c r="AR27" t="s">
        <v>412</v>
      </c>
      <c r="AS27" t="s">
        <v>1094</v>
      </c>
      <c r="AT27" t="s">
        <v>191</v>
      </c>
      <c r="AU27" t="s">
        <v>191</v>
      </c>
      <c r="AV27" s="30">
        <v>0</v>
      </c>
      <c r="AW27" t="s">
        <v>287</v>
      </c>
      <c r="AX27" t="s">
        <v>191</v>
      </c>
      <c r="AZ27" t="s">
        <v>829</v>
      </c>
      <c r="BA27">
        <v>0</v>
      </c>
      <c r="BB27" t="s">
        <v>289</v>
      </c>
      <c r="BC27" t="s">
        <v>243</v>
      </c>
      <c r="BE27" t="s">
        <v>420</v>
      </c>
      <c r="BF27" t="s">
        <v>294</v>
      </c>
      <c r="BG27" t="s">
        <v>300</v>
      </c>
      <c r="BH27" t="s">
        <v>281</v>
      </c>
      <c r="BI27">
        <v>2</v>
      </c>
      <c r="BJ27" t="s">
        <v>370</v>
      </c>
      <c r="BK27" t="s">
        <v>418</v>
      </c>
      <c r="BL27" t="s">
        <v>414</v>
      </c>
      <c r="BM27" t="s">
        <v>415</v>
      </c>
      <c r="BN27" t="str">
        <f t="shared" si="0"/>
        <v>control_music</v>
      </c>
      <c r="BO27" t="s">
        <v>267</v>
      </c>
      <c r="BQ27">
        <v>14</v>
      </c>
      <c r="BR27">
        <v>14</v>
      </c>
      <c r="BS27" s="35">
        <v>14.617110800000001</v>
      </c>
      <c r="BT27" s="35">
        <v>0.50490883600000003</v>
      </c>
      <c r="BU27" s="35">
        <v>1.8891958760000001</v>
      </c>
      <c r="BV27" s="35"/>
      <c r="BW27" s="35">
        <v>15.475455820000001</v>
      </c>
      <c r="BX27" s="35">
        <v>0.50490883600000003</v>
      </c>
      <c r="BY27" s="35">
        <v>1.8891958760000001</v>
      </c>
      <c r="CB27" t="s">
        <v>268</v>
      </c>
      <c r="CD27" t="s">
        <v>268</v>
      </c>
      <c r="CE27" t="s">
        <v>267</v>
      </c>
      <c r="CF27" t="s">
        <v>309</v>
      </c>
      <c r="CG27" t="s">
        <v>268</v>
      </c>
      <c r="CI27" t="s">
        <v>268</v>
      </c>
      <c r="CK27" s="30">
        <f t="shared" si="1"/>
        <v>2</v>
      </c>
      <c r="CL27">
        <f t="shared" si="2"/>
        <v>4</v>
      </c>
    </row>
    <row r="28" spans="1:90" hidden="1" x14ac:dyDescent="0.35">
      <c r="A28" t="s">
        <v>427</v>
      </c>
      <c r="B28" t="s">
        <v>404</v>
      </c>
      <c r="C28" t="s">
        <v>405</v>
      </c>
      <c r="D28" t="s">
        <v>406</v>
      </c>
      <c r="E28" t="s">
        <v>407</v>
      </c>
      <c r="F28">
        <v>2021</v>
      </c>
      <c r="G28" t="s">
        <v>175</v>
      </c>
      <c r="I28" t="s">
        <v>333</v>
      </c>
      <c r="K28" t="s">
        <v>178</v>
      </c>
      <c r="L28" t="s">
        <v>177</v>
      </c>
      <c r="M28" t="s">
        <v>1125</v>
      </c>
      <c r="N28" t="s">
        <v>179</v>
      </c>
      <c r="O28" t="s">
        <v>188</v>
      </c>
      <c r="Q28" t="s">
        <v>188</v>
      </c>
      <c r="S28" t="s">
        <v>204</v>
      </c>
      <c r="U28" t="s">
        <v>1117</v>
      </c>
      <c r="V28" t="s">
        <v>268</v>
      </c>
      <c r="X28" t="s">
        <v>269</v>
      </c>
      <c r="AE28" t="s">
        <v>273</v>
      </c>
      <c r="AG28" t="s">
        <v>275</v>
      </c>
      <c r="AI28" t="s">
        <v>345</v>
      </c>
      <c r="AK28">
        <v>12</v>
      </c>
      <c r="AM28">
        <v>7</v>
      </c>
      <c r="AN28" t="s">
        <v>411</v>
      </c>
      <c r="AO28" t="s">
        <v>1104</v>
      </c>
      <c r="AP28" t="s">
        <v>281</v>
      </c>
      <c r="AQ28" t="s">
        <v>283</v>
      </c>
      <c r="AR28" t="s">
        <v>412</v>
      </c>
      <c r="AS28" t="s">
        <v>1094</v>
      </c>
      <c r="AT28" t="s">
        <v>191</v>
      </c>
      <c r="AU28" t="s">
        <v>191</v>
      </c>
      <c r="AV28" s="30">
        <v>0</v>
      </c>
      <c r="AW28" t="s">
        <v>287</v>
      </c>
      <c r="AX28" t="s">
        <v>191</v>
      </c>
      <c r="AZ28" t="s">
        <v>829</v>
      </c>
      <c r="BA28">
        <v>0</v>
      </c>
      <c r="BB28" t="s">
        <v>289</v>
      </c>
      <c r="BC28" t="s">
        <v>243</v>
      </c>
      <c r="BE28" t="s">
        <v>421</v>
      </c>
      <c r="BF28" t="s">
        <v>294</v>
      </c>
      <c r="BG28" t="s">
        <v>300</v>
      </c>
      <c r="BH28" t="s">
        <v>281</v>
      </c>
      <c r="BI28">
        <v>2</v>
      </c>
      <c r="BJ28" t="s">
        <v>370</v>
      </c>
      <c r="BK28" t="s">
        <v>419</v>
      </c>
      <c r="BL28" t="s">
        <v>414</v>
      </c>
      <c r="BM28" t="s">
        <v>415</v>
      </c>
      <c r="BN28" t="str">
        <f t="shared" si="0"/>
        <v>control_music</v>
      </c>
      <c r="BO28" t="s">
        <v>267</v>
      </c>
      <c r="BQ28">
        <v>14</v>
      </c>
      <c r="BR28">
        <v>14</v>
      </c>
      <c r="BS28" s="35">
        <v>4.2894021740000001</v>
      </c>
      <c r="BT28" s="35">
        <v>0.275815217</v>
      </c>
      <c r="BU28" s="35">
        <v>1.032006046</v>
      </c>
      <c r="BV28" s="35"/>
      <c r="BW28" s="35">
        <v>3.9850543479999998</v>
      </c>
      <c r="BX28" s="35">
        <v>0.22826087</v>
      </c>
      <c r="BY28" s="35">
        <v>0.85407396899999999</v>
      </c>
      <c r="CB28" t="s">
        <v>268</v>
      </c>
      <c r="CD28" t="s">
        <v>268</v>
      </c>
      <c r="CE28" t="s">
        <v>191</v>
      </c>
      <c r="CF28" t="s">
        <v>309</v>
      </c>
      <c r="CG28" t="s">
        <v>268</v>
      </c>
      <c r="CI28" t="s">
        <v>268</v>
      </c>
      <c r="CK28" s="30">
        <f t="shared" si="1"/>
        <v>1</v>
      </c>
      <c r="CL28">
        <f t="shared" si="2"/>
        <v>3</v>
      </c>
    </row>
    <row r="29" spans="1:90" hidden="1" x14ac:dyDescent="0.35">
      <c r="A29" t="s">
        <v>428</v>
      </c>
      <c r="B29" t="s">
        <v>404</v>
      </c>
      <c r="C29" t="s">
        <v>405</v>
      </c>
      <c r="D29" t="s">
        <v>406</v>
      </c>
      <c r="E29" t="s">
        <v>407</v>
      </c>
      <c r="F29">
        <v>2021</v>
      </c>
      <c r="G29" t="s">
        <v>344</v>
      </c>
      <c r="I29" t="s">
        <v>176</v>
      </c>
      <c r="K29" t="s">
        <v>178</v>
      </c>
      <c r="L29" t="s">
        <v>177</v>
      </c>
      <c r="M29" t="s">
        <v>1125</v>
      </c>
      <c r="N29" t="s">
        <v>179</v>
      </c>
      <c r="O29" t="s">
        <v>188</v>
      </c>
      <c r="Q29" t="s">
        <v>188</v>
      </c>
      <c r="S29" t="s">
        <v>204</v>
      </c>
      <c r="U29" t="s">
        <v>1117</v>
      </c>
      <c r="V29" t="s">
        <v>267</v>
      </c>
      <c r="W29" t="s">
        <v>409</v>
      </c>
      <c r="X29" t="s">
        <v>270</v>
      </c>
      <c r="Y29" t="s">
        <v>408</v>
      </c>
      <c r="AA29" t="s">
        <v>188</v>
      </c>
      <c r="AB29" t="s">
        <v>410</v>
      </c>
      <c r="AC29">
        <v>1</v>
      </c>
      <c r="AE29" t="s">
        <v>273</v>
      </c>
      <c r="AG29" t="s">
        <v>275</v>
      </c>
      <c r="AI29" t="s">
        <v>345</v>
      </c>
      <c r="AK29">
        <v>12</v>
      </c>
      <c r="AM29">
        <v>7</v>
      </c>
      <c r="AN29" t="s">
        <v>411</v>
      </c>
      <c r="AO29" t="s">
        <v>1104</v>
      </c>
      <c r="AP29" t="s">
        <v>281</v>
      </c>
      <c r="AQ29" t="s">
        <v>283</v>
      </c>
      <c r="AR29" t="s">
        <v>412</v>
      </c>
      <c r="AS29" t="s">
        <v>1094</v>
      </c>
      <c r="AT29" t="s">
        <v>191</v>
      </c>
      <c r="AU29" t="s">
        <v>191</v>
      </c>
      <c r="AV29" s="30">
        <v>0</v>
      </c>
      <c r="AW29" t="s">
        <v>287</v>
      </c>
      <c r="AX29" t="s">
        <v>191</v>
      </c>
      <c r="AZ29" t="s">
        <v>829</v>
      </c>
      <c r="BA29">
        <v>0</v>
      </c>
      <c r="BB29" t="s">
        <v>289</v>
      </c>
      <c r="BC29" t="s">
        <v>243</v>
      </c>
      <c r="BE29" t="s">
        <v>416</v>
      </c>
      <c r="BF29" t="s">
        <v>291</v>
      </c>
      <c r="BG29" t="s">
        <v>297</v>
      </c>
      <c r="BH29" t="s">
        <v>281</v>
      </c>
      <c r="BI29">
        <v>2</v>
      </c>
      <c r="BJ29" t="s">
        <v>370</v>
      </c>
      <c r="BK29" t="s">
        <v>413</v>
      </c>
      <c r="BL29" t="s">
        <v>422</v>
      </c>
      <c r="BM29" t="s">
        <v>423</v>
      </c>
      <c r="BN29" t="str">
        <f t="shared" si="0"/>
        <v>ptsd_ptsd.music</v>
      </c>
      <c r="BO29" t="s">
        <v>267</v>
      </c>
      <c r="BQ29">
        <v>14</v>
      </c>
      <c r="BR29">
        <v>14</v>
      </c>
      <c r="BS29" s="35">
        <v>9.252808989</v>
      </c>
      <c r="BT29" s="35">
        <v>0.50561797799999997</v>
      </c>
      <c r="BU29" s="35">
        <v>1.8918492410000001</v>
      </c>
      <c r="BV29" s="35"/>
      <c r="BW29" s="35">
        <v>12.56460674</v>
      </c>
      <c r="BX29" s="35">
        <v>0.70786516899999996</v>
      </c>
      <c r="BY29" s="35">
        <v>2.648588937</v>
      </c>
      <c r="CB29" t="s">
        <v>268</v>
      </c>
      <c r="CD29" t="s">
        <v>268</v>
      </c>
      <c r="CE29" t="s">
        <v>267</v>
      </c>
      <c r="CF29" t="s">
        <v>309</v>
      </c>
      <c r="CG29" t="s">
        <v>268</v>
      </c>
      <c r="CI29" t="s">
        <v>268</v>
      </c>
      <c r="CK29" s="30">
        <f t="shared" si="1"/>
        <v>2</v>
      </c>
      <c r="CL29">
        <f t="shared" si="2"/>
        <v>4</v>
      </c>
    </row>
    <row r="30" spans="1:90" hidden="1" x14ac:dyDescent="0.35">
      <c r="A30" t="s">
        <v>429</v>
      </c>
      <c r="B30" t="s">
        <v>404</v>
      </c>
      <c r="C30" t="s">
        <v>405</v>
      </c>
      <c r="D30" t="s">
        <v>406</v>
      </c>
      <c r="E30" t="s">
        <v>407</v>
      </c>
      <c r="F30">
        <v>2021</v>
      </c>
      <c r="G30" t="s">
        <v>344</v>
      </c>
      <c r="I30" t="s">
        <v>331</v>
      </c>
      <c r="K30" t="s">
        <v>178</v>
      </c>
      <c r="L30" t="s">
        <v>177</v>
      </c>
      <c r="M30" t="s">
        <v>1125</v>
      </c>
      <c r="N30" t="s">
        <v>179</v>
      </c>
      <c r="O30" t="s">
        <v>188</v>
      </c>
      <c r="Q30" t="s">
        <v>188</v>
      </c>
      <c r="S30" t="s">
        <v>204</v>
      </c>
      <c r="U30" t="s">
        <v>1117</v>
      </c>
      <c r="V30" t="s">
        <v>267</v>
      </c>
      <c r="W30" t="s">
        <v>409</v>
      </c>
      <c r="X30" t="s">
        <v>270</v>
      </c>
      <c r="Y30" t="s">
        <v>408</v>
      </c>
      <c r="AA30" t="s">
        <v>188</v>
      </c>
      <c r="AB30" t="s">
        <v>410</v>
      </c>
      <c r="AC30">
        <v>1</v>
      </c>
      <c r="AE30" t="s">
        <v>273</v>
      </c>
      <c r="AG30" t="s">
        <v>275</v>
      </c>
      <c r="AI30" t="s">
        <v>345</v>
      </c>
      <c r="AK30">
        <v>12</v>
      </c>
      <c r="AM30">
        <v>7</v>
      </c>
      <c r="AN30" t="s">
        <v>411</v>
      </c>
      <c r="AO30" t="s">
        <v>1104</v>
      </c>
      <c r="AP30" t="s">
        <v>281</v>
      </c>
      <c r="AQ30" t="s">
        <v>283</v>
      </c>
      <c r="AR30" t="s">
        <v>412</v>
      </c>
      <c r="AS30" t="s">
        <v>1094</v>
      </c>
      <c r="AT30" t="s">
        <v>191</v>
      </c>
      <c r="AU30" t="s">
        <v>191</v>
      </c>
      <c r="AV30" s="30">
        <v>0</v>
      </c>
      <c r="AW30" t="s">
        <v>287</v>
      </c>
      <c r="AX30" t="s">
        <v>191</v>
      </c>
      <c r="AZ30" t="s">
        <v>829</v>
      </c>
      <c r="BA30">
        <v>0</v>
      </c>
      <c r="BB30" t="s">
        <v>289</v>
      </c>
      <c r="BC30" t="s">
        <v>243</v>
      </c>
      <c r="BE30" t="s">
        <v>434</v>
      </c>
      <c r="BF30" t="s">
        <v>293</v>
      </c>
      <c r="BG30" t="s">
        <v>299</v>
      </c>
      <c r="BH30" t="s">
        <v>281</v>
      </c>
      <c r="BI30">
        <v>2</v>
      </c>
      <c r="BJ30" t="s">
        <v>370</v>
      </c>
      <c r="BK30" t="s">
        <v>417</v>
      </c>
      <c r="BL30" t="s">
        <v>422</v>
      </c>
      <c r="BM30" t="s">
        <v>423</v>
      </c>
      <c r="BN30" t="str">
        <f t="shared" si="0"/>
        <v>ptsd_ptsd.music</v>
      </c>
      <c r="BO30" t="s">
        <v>267</v>
      </c>
      <c r="BQ30">
        <v>14</v>
      </c>
      <c r="BR30">
        <v>14</v>
      </c>
      <c r="BS30" s="35">
        <v>2198.198198</v>
      </c>
      <c r="BT30" s="35">
        <v>175.6756757</v>
      </c>
      <c r="BU30" s="35">
        <v>657.31818959999998</v>
      </c>
      <c r="BV30" s="35"/>
      <c r="BW30" s="35">
        <v>2572.0720719999999</v>
      </c>
      <c r="BX30" s="35">
        <v>297.29729730000003</v>
      </c>
      <c r="BY30" s="35">
        <v>1112.3846289999999</v>
      </c>
      <c r="CB30" t="s">
        <v>268</v>
      </c>
      <c r="CD30" t="s">
        <v>268</v>
      </c>
      <c r="CE30" t="s">
        <v>191</v>
      </c>
      <c r="CF30" t="s">
        <v>309</v>
      </c>
      <c r="CG30" t="s">
        <v>268</v>
      </c>
      <c r="CI30" t="s">
        <v>268</v>
      </c>
      <c r="CK30" s="30">
        <f t="shared" si="1"/>
        <v>1</v>
      </c>
      <c r="CL30">
        <f t="shared" si="2"/>
        <v>3</v>
      </c>
    </row>
    <row r="31" spans="1:90" hidden="1" x14ac:dyDescent="0.35">
      <c r="A31" t="s">
        <v>430</v>
      </c>
      <c r="B31" t="s">
        <v>404</v>
      </c>
      <c r="C31" t="s">
        <v>405</v>
      </c>
      <c r="D31" t="s">
        <v>406</v>
      </c>
      <c r="E31" t="s">
        <v>407</v>
      </c>
      <c r="F31">
        <v>2021</v>
      </c>
      <c r="G31" t="s">
        <v>344</v>
      </c>
      <c r="I31" t="s">
        <v>332</v>
      </c>
      <c r="K31" t="s">
        <v>178</v>
      </c>
      <c r="L31" t="s">
        <v>177</v>
      </c>
      <c r="M31" t="s">
        <v>1125</v>
      </c>
      <c r="N31" t="s">
        <v>179</v>
      </c>
      <c r="O31" t="s">
        <v>188</v>
      </c>
      <c r="Q31" t="s">
        <v>188</v>
      </c>
      <c r="S31" t="s">
        <v>204</v>
      </c>
      <c r="U31" t="s">
        <v>1117</v>
      </c>
      <c r="V31" t="s">
        <v>267</v>
      </c>
      <c r="W31" t="s">
        <v>409</v>
      </c>
      <c r="X31" t="s">
        <v>270</v>
      </c>
      <c r="Y31" t="s">
        <v>408</v>
      </c>
      <c r="AA31" t="s">
        <v>188</v>
      </c>
      <c r="AB31" t="s">
        <v>410</v>
      </c>
      <c r="AC31">
        <v>1</v>
      </c>
      <c r="AE31" t="s">
        <v>273</v>
      </c>
      <c r="AG31" t="s">
        <v>275</v>
      </c>
      <c r="AI31" t="s">
        <v>345</v>
      </c>
      <c r="AK31">
        <v>12</v>
      </c>
      <c r="AM31">
        <v>7</v>
      </c>
      <c r="AN31" t="s">
        <v>411</v>
      </c>
      <c r="AO31" t="s">
        <v>1104</v>
      </c>
      <c r="AP31" t="s">
        <v>281</v>
      </c>
      <c r="AQ31" t="s">
        <v>283</v>
      </c>
      <c r="AR31" t="s">
        <v>412</v>
      </c>
      <c r="AS31" t="s">
        <v>1094</v>
      </c>
      <c r="AT31" t="s">
        <v>191</v>
      </c>
      <c r="AU31" t="s">
        <v>191</v>
      </c>
      <c r="AV31" s="30">
        <v>0</v>
      </c>
      <c r="AW31" t="s">
        <v>287</v>
      </c>
      <c r="AX31" t="s">
        <v>191</v>
      </c>
      <c r="AZ31" t="s">
        <v>829</v>
      </c>
      <c r="BA31">
        <v>0</v>
      </c>
      <c r="BB31" t="s">
        <v>289</v>
      </c>
      <c r="BC31" t="s">
        <v>243</v>
      </c>
      <c r="BE31" t="s">
        <v>420</v>
      </c>
      <c r="BF31" t="s">
        <v>294</v>
      </c>
      <c r="BG31" t="s">
        <v>300</v>
      </c>
      <c r="BH31" t="s">
        <v>281</v>
      </c>
      <c r="BI31">
        <v>2</v>
      </c>
      <c r="BJ31" t="s">
        <v>370</v>
      </c>
      <c r="BK31" t="s">
        <v>418</v>
      </c>
      <c r="BL31" t="s">
        <v>422</v>
      </c>
      <c r="BM31" t="s">
        <v>423</v>
      </c>
      <c r="BN31" t="str">
        <f t="shared" si="0"/>
        <v>ptsd_ptsd.music</v>
      </c>
      <c r="BO31" t="s">
        <v>267</v>
      </c>
      <c r="BQ31">
        <v>14</v>
      </c>
      <c r="BR31">
        <v>14</v>
      </c>
      <c r="BS31" s="35">
        <v>7.775596073</v>
      </c>
      <c r="BT31" s="35">
        <v>0.25245441800000001</v>
      </c>
      <c r="BU31" s="35">
        <v>0.94459793800000003</v>
      </c>
      <c r="BV31" s="35"/>
      <c r="BW31" s="35">
        <v>10.02244039</v>
      </c>
      <c r="BX31" s="35">
        <v>0.73211781200000003</v>
      </c>
      <c r="BY31" s="35">
        <v>2.7393340190000002</v>
      </c>
      <c r="CB31" t="s">
        <v>268</v>
      </c>
      <c r="CD31" t="s">
        <v>268</v>
      </c>
      <c r="CE31" t="s">
        <v>267</v>
      </c>
      <c r="CF31" t="s">
        <v>309</v>
      </c>
      <c r="CG31" t="s">
        <v>268</v>
      </c>
      <c r="CI31" t="s">
        <v>268</v>
      </c>
      <c r="CK31" s="30">
        <f t="shared" si="1"/>
        <v>2</v>
      </c>
      <c r="CL31">
        <f t="shared" si="2"/>
        <v>4</v>
      </c>
    </row>
    <row r="32" spans="1:90" hidden="1" x14ac:dyDescent="0.35">
      <c r="A32" t="s">
        <v>431</v>
      </c>
      <c r="B32" t="s">
        <v>404</v>
      </c>
      <c r="C32" t="s">
        <v>405</v>
      </c>
      <c r="D32" t="s">
        <v>406</v>
      </c>
      <c r="E32" t="s">
        <v>407</v>
      </c>
      <c r="F32">
        <v>2021</v>
      </c>
      <c r="G32" t="s">
        <v>344</v>
      </c>
      <c r="I32" t="s">
        <v>333</v>
      </c>
      <c r="K32" t="s">
        <v>178</v>
      </c>
      <c r="L32" t="s">
        <v>177</v>
      </c>
      <c r="M32" t="s">
        <v>1125</v>
      </c>
      <c r="N32" t="s">
        <v>179</v>
      </c>
      <c r="O32" t="s">
        <v>188</v>
      </c>
      <c r="Q32" t="s">
        <v>188</v>
      </c>
      <c r="S32" t="s">
        <v>204</v>
      </c>
      <c r="U32" t="s">
        <v>1117</v>
      </c>
      <c r="V32" t="s">
        <v>267</v>
      </c>
      <c r="W32" t="s">
        <v>409</v>
      </c>
      <c r="X32" t="s">
        <v>270</v>
      </c>
      <c r="Y32" t="s">
        <v>408</v>
      </c>
      <c r="AA32" t="s">
        <v>188</v>
      </c>
      <c r="AB32" t="s">
        <v>410</v>
      </c>
      <c r="AC32">
        <v>1</v>
      </c>
      <c r="AE32" t="s">
        <v>273</v>
      </c>
      <c r="AG32" t="s">
        <v>275</v>
      </c>
      <c r="AI32" t="s">
        <v>345</v>
      </c>
      <c r="AK32">
        <v>12</v>
      </c>
      <c r="AM32">
        <v>7</v>
      </c>
      <c r="AN32" t="s">
        <v>411</v>
      </c>
      <c r="AO32" t="s">
        <v>1104</v>
      </c>
      <c r="AP32" t="s">
        <v>281</v>
      </c>
      <c r="AQ32" t="s">
        <v>283</v>
      </c>
      <c r="AR32" t="s">
        <v>412</v>
      </c>
      <c r="AS32" t="s">
        <v>1094</v>
      </c>
      <c r="AT32" t="s">
        <v>191</v>
      </c>
      <c r="AU32" t="s">
        <v>191</v>
      </c>
      <c r="AV32" s="30">
        <v>0</v>
      </c>
      <c r="AW32" t="s">
        <v>287</v>
      </c>
      <c r="AX32" t="s">
        <v>191</v>
      </c>
      <c r="AZ32" t="s">
        <v>829</v>
      </c>
      <c r="BA32">
        <v>0</v>
      </c>
      <c r="BB32" t="s">
        <v>289</v>
      </c>
      <c r="BC32" t="s">
        <v>243</v>
      </c>
      <c r="BE32" t="s">
        <v>421</v>
      </c>
      <c r="BF32" t="s">
        <v>294</v>
      </c>
      <c r="BG32" t="s">
        <v>300</v>
      </c>
      <c r="BH32" t="s">
        <v>281</v>
      </c>
      <c r="BI32">
        <v>2</v>
      </c>
      <c r="BJ32" t="s">
        <v>370</v>
      </c>
      <c r="BK32" t="s">
        <v>419</v>
      </c>
      <c r="BL32" t="s">
        <v>422</v>
      </c>
      <c r="BM32" t="s">
        <v>423</v>
      </c>
      <c r="BN32" t="str">
        <f t="shared" si="0"/>
        <v>ptsd_ptsd.music</v>
      </c>
      <c r="BO32" t="s">
        <v>267</v>
      </c>
      <c r="BQ32">
        <v>14</v>
      </c>
      <c r="BR32">
        <v>14</v>
      </c>
      <c r="BS32" s="35">
        <v>5.5733695650000001</v>
      </c>
      <c r="BT32" s="35">
        <v>0.37092391299999999</v>
      </c>
      <c r="BU32" s="35">
        <v>1.387870199</v>
      </c>
      <c r="BV32" s="35"/>
      <c r="BW32" s="35">
        <v>4.8600543480000002</v>
      </c>
      <c r="BX32" s="35">
        <v>0.24728260899999999</v>
      </c>
      <c r="BY32" s="35">
        <v>0.92524679899999995</v>
      </c>
      <c r="CB32" t="s">
        <v>268</v>
      </c>
      <c r="CD32" t="s">
        <v>268</v>
      </c>
      <c r="CE32" t="s">
        <v>191</v>
      </c>
      <c r="CF32" t="s">
        <v>309</v>
      </c>
      <c r="CG32" t="s">
        <v>268</v>
      </c>
      <c r="CI32" t="s">
        <v>268</v>
      </c>
      <c r="CK32" s="30">
        <f t="shared" si="1"/>
        <v>1</v>
      </c>
      <c r="CL32">
        <f t="shared" si="2"/>
        <v>3</v>
      </c>
    </row>
    <row r="33" spans="1:90" hidden="1" x14ac:dyDescent="0.35">
      <c r="A33" t="s">
        <v>583</v>
      </c>
      <c r="B33" t="s">
        <v>435</v>
      </c>
      <c r="C33" t="s">
        <v>436</v>
      </c>
      <c r="D33" t="s">
        <v>437</v>
      </c>
      <c r="E33" t="s">
        <v>438</v>
      </c>
      <c r="F33">
        <v>2014</v>
      </c>
      <c r="G33" t="s">
        <v>175</v>
      </c>
      <c r="I33" t="s">
        <v>176</v>
      </c>
      <c r="K33" t="s">
        <v>178</v>
      </c>
      <c r="L33" t="s">
        <v>177</v>
      </c>
      <c r="M33" t="s">
        <v>1125</v>
      </c>
      <c r="N33" t="s">
        <v>193</v>
      </c>
      <c r="O33" t="s">
        <v>187</v>
      </c>
      <c r="P33" t="s">
        <v>439</v>
      </c>
      <c r="Q33" t="s">
        <v>187</v>
      </c>
      <c r="S33" t="s">
        <v>194</v>
      </c>
      <c r="U33" t="s">
        <v>1117</v>
      </c>
      <c r="V33" t="s">
        <v>268</v>
      </c>
      <c r="X33" t="s">
        <v>269</v>
      </c>
      <c r="AE33" t="s">
        <v>273</v>
      </c>
      <c r="AG33" t="s">
        <v>275</v>
      </c>
      <c r="AI33" t="s">
        <v>345</v>
      </c>
      <c r="AK33">
        <v>0.5</v>
      </c>
      <c r="AM33">
        <v>1</v>
      </c>
      <c r="AN33" t="s">
        <v>440</v>
      </c>
      <c r="AO33" t="s">
        <v>1104</v>
      </c>
      <c r="AP33" t="s">
        <v>281</v>
      </c>
      <c r="AQ33" t="s">
        <v>283</v>
      </c>
      <c r="AR33" t="s">
        <v>441</v>
      </c>
      <c r="AS33" t="s">
        <v>1094</v>
      </c>
      <c r="AT33">
        <v>65</v>
      </c>
      <c r="AU33" t="s">
        <v>433</v>
      </c>
      <c r="AV33" s="30">
        <v>2</v>
      </c>
      <c r="AW33" t="s">
        <v>287</v>
      </c>
      <c r="AX33">
        <v>55</v>
      </c>
      <c r="AZ33" t="s">
        <v>829</v>
      </c>
      <c r="BA33">
        <v>2</v>
      </c>
      <c r="BB33" t="s">
        <v>289</v>
      </c>
      <c r="BC33" t="s">
        <v>239</v>
      </c>
      <c r="BE33" t="s">
        <v>336</v>
      </c>
      <c r="BF33" t="s">
        <v>291</v>
      </c>
      <c r="BG33" t="s">
        <v>297</v>
      </c>
      <c r="BH33" t="s">
        <v>281</v>
      </c>
      <c r="BI33">
        <v>2</v>
      </c>
      <c r="BJ33" t="s">
        <v>370</v>
      </c>
      <c r="BK33" t="s">
        <v>442</v>
      </c>
      <c r="BL33" t="s">
        <v>443</v>
      </c>
      <c r="BM33" t="s">
        <v>444</v>
      </c>
      <c r="BN33" t="str">
        <f t="shared" ref="BN33:BN60" si="3">_xlfn.CONCAT(BL33:BM33)</f>
        <v>SILENCE_MUSIC</v>
      </c>
      <c r="BO33" t="s">
        <v>267</v>
      </c>
      <c r="BP33" t="s">
        <v>445</v>
      </c>
      <c r="BQ33">
        <v>6</v>
      </c>
      <c r="BR33">
        <v>6</v>
      </c>
      <c r="BS33" s="35">
        <v>38.051044079999997</v>
      </c>
      <c r="BT33" s="35">
        <v>3.712296984</v>
      </c>
      <c r="BU33" s="35">
        <v>9.0932333839999995</v>
      </c>
      <c r="BV33" s="35"/>
      <c r="BW33" s="35">
        <v>74.941995360000007</v>
      </c>
      <c r="BX33" s="35">
        <v>5.8004640370000002</v>
      </c>
      <c r="BY33" s="35">
        <v>14.20817716</v>
      </c>
      <c r="CB33" t="s">
        <v>268</v>
      </c>
      <c r="CD33" t="s">
        <v>268</v>
      </c>
      <c r="CE33" t="s">
        <v>267</v>
      </c>
      <c r="CF33" t="s">
        <v>309</v>
      </c>
      <c r="CG33" t="s">
        <v>268</v>
      </c>
      <c r="CI33" t="s">
        <v>268</v>
      </c>
      <c r="CK33" s="30">
        <f t="shared" si="1"/>
        <v>2</v>
      </c>
      <c r="CL33">
        <f t="shared" si="2"/>
        <v>8</v>
      </c>
    </row>
    <row r="34" spans="1:90" hidden="1" x14ac:dyDescent="0.35">
      <c r="A34" t="s">
        <v>584</v>
      </c>
      <c r="B34" t="s">
        <v>435</v>
      </c>
      <c r="C34" t="s">
        <v>436</v>
      </c>
      <c r="D34" t="s">
        <v>437</v>
      </c>
      <c r="E34" t="s">
        <v>438</v>
      </c>
      <c r="F34">
        <v>2014</v>
      </c>
      <c r="G34" t="s">
        <v>344</v>
      </c>
      <c r="I34" t="s">
        <v>176</v>
      </c>
      <c r="K34" t="s">
        <v>178</v>
      </c>
      <c r="L34" t="s">
        <v>177</v>
      </c>
      <c r="M34" t="s">
        <v>1125</v>
      </c>
      <c r="N34" t="s">
        <v>193</v>
      </c>
      <c r="O34" t="s">
        <v>187</v>
      </c>
      <c r="P34" t="s">
        <v>439</v>
      </c>
      <c r="Q34" t="s">
        <v>187</v>
      </c>
      <c r="S34" t="s">
        <v>194</v>
      </c>
      <c r="U34" t="s">
        <v>1117</v>
      </c>
      <c r="V34" t="s">
        <v>268</v>
      </c>
      <c r="X34" t="s">
        <v>269</v>
      </c>
      <c r="AE34" t="s">
        <v>273</v>
      </c>
      <c r="AG34" t="s">
        <v>275</v>
      </c>
      <c r="AI34" t="s">
        <v>345</v>
      </c>
      <c r="AK34">
        <v>0.5</v>
      </c>
      <c r="AM34">
        <v>1</v>
      </c>
      <c r="AN34" t="s">
        <v>440</v>
      </c>
      <c r="AO34" t="s">
        <v>1104</v>
      </c>
      <c r="AP34" t="s">
        <v>281</v>
      </c>
      <c r="AQ34" t="s">
        <v>283</v>
      </c>
      <c r="AR34" t="s">
        <v>441</v>
      </c>
      <c r="AS34" t="s">
        <v>1094</v>
      </c>
      <c r="AT34">
        <v>65</v>
      </c>
      <c r="AU34" t="s">
        <v>433</v>
      </c>
      <c r="AV34" s="30">
        <v>2</v>
      </c>
      <c r="AW34" t="s">
        <v>288</v>
      </c>
      <c r="AX34">
        <v>65</v>
      </c>
      <c r="AZ34" t="s">
        <v>433</v>
      </c>
      <c r="BA34">
        <v>2</v>
      </c>
      <c r="BB34" t="s">
        <v>289</v>
      </c>
      <c r="BC34" t="s">
        <v>239</v>
      </c>
      <c r="BE34" t="s">
        <v>336</v>
      </c>
      <c r="BF34" t="s">
        <v>291</v>
      </c>
      <c r="BG34" t="s">
        <v>297</v>
      </c>
      <c r="BH34" t="s">
        <v>281</v>
      </c>
      <c r="BI34">
        <v>2</v>
      </c>
      <c r="BJ34" t="s">
        <v>370</v>
      </c>
      <c r="BK34" t="s">
        <v>442</v>
      </c>
      <c r="BL34" t="s">
        <v>446</v>
      </c>
      <c r="BM34" t="s">
        <v>444</v>
      </c>
      <c r="BN34" t="str">
        <f t="shared" si="3"/>
        <v>WHITE.NOISE_MUSIC</v>
      </c>
      <c r="BO34" t="s">
        <v>267</v>
      </c>
      <c r="BQ34">
        <v>6</v>
      </c>
      <c r="BR34">
        <v>6</v>
      </c>
      <c r="BS34" s="35">
        <v>13.92111369</v>
      </c>
      <c r="BT34" s="35">
        <v>1.1600928070000001</v>
      </c>
      <c r="BU34" s="35">
        <v>2.8416354319999999</v>
      </c>
      <c r="BV34" s="35"/>
      <c r="BW34" s="35">
        <v>74.941995360000007</v>
      </c>
      <c r="BX34" s="35">
        <v>5.8004640370000002</v>
      </c>
      <c r="BY34" s="35">
        <v>14.20817716</v>
      </c>
      <c r="CB34" t="s">
        <v>268</v>
      </c>
      <c r="CD34" t="s">
        <v>268</v>
      </c>
      <c r="CE34" t="s">
        <v>267</v>
      </c>
      <c r="CF34" t="s">
        <v>309</v>
      </c>
      <c r="CG34" t="s">
        <v>268</v>
      </c>
      <c r="CI34" t="s">
        <v>268</v>
      </c>
      <c r="CK34" s="30">
        <f t="shared" si="1"/>
        <v>2</v>
      </c>
      <c r="CL34">
        <f t="shared" si="2"/>
        <v>8</v>
      </c>
    </row>
    <row r="35" spans="1:90" hidden="1" x14ac:dyDescent="0.35">
      <c r="A35" t="s">
        <v>585</v>
      </c>
      <c r="B35" t="s">
        <v>435</v>
      </c>
      <c r="C35" t="s">
        <v>436</v>
      </c>
      <c r="D35" t="s">
        <v>437</v>
      </c>
      <c r="E35" t="s">
        <v>438</v>
      </c>
      <c r="F35">
        <v>2014</v>
      </c>
      <c r="G35" t="s">
        <v>175</v>
      </c>
      <c r="I35" t="s">
        <v>331</v>
      </c>
      <c r="K35" t="s">
        <v>178</v>
      </c>
      <c r="L35" t="s">
        <v>177</v>
      </c>
      <c r="M35" t="s">
        <v>1125</v>
      </c>
      <c r="N35" t="s">
        <v>193</v>
      </c>
      <c r="O35" t="s">
        <v>187</v>
      </c>
      <c r="P35" t="s">
        <v>439</v>
      </c>
      <c r="Q35" t="s">
        <v>187</v>
      </c>
      <c r="S35" t="s">
        <v>194</v>
      </c>
      <c r="U35" t="s">
        <v>1117</v>
      </c>
      <c r="V35" t="s">
        <v>268</v>
      </c>
      <c r="X35" t="s">
        <v>269</v>
      </c>
      <c r="AE35" t="s">
        <v>273</v>
      </c>
      <c r="AG35" t="s">
        <v>275</v>
      </c>
      <c r="AI35" t="s">
        <v>345</v>
      </c>
      <c r="AK35">
        <v>0.5</v>
      </c>
      <c r="AM35">
        <v>1</v>
      </c>
      <c r="AN35" t="s">
        <v>440</v>
      </c>
      <c r="AO35" t="s">
        <v>1104</v>
      </c>
      <c r="AP35" t="s">
        <v>281</v>
      </c>
      <c r="AQ35" t="s">
        <v>283</v>
      </c>
      <c r="AR35" t="s">
        <v>441</v>
      </c>
      <c r="AS35" t="s">
        <v>1094</v>
      </c>
      <c r="AT35">
        <v>65</v>
      </c>
      <c r="AU35" t="s">
        <v>433</v>
      </c>
      <c r="AV35" s="30">
        <v>2</v>
      </c>
      <c r="AW35" t="s">
        <v>287</v>
      </c>
      <c r="AX35">
        <v>55</v>
      </c>
      <c r="AZ35" t="s">
        <v>829</v>
      </c>
      <c r="BA35">
        <v>2</v>
      </c>
      <c r="BB35" t="s">
        <v>289</v>
      </c>
      <c r="BC35" t="s">
        <v>239</v>
      </c>
      <c r="BE35" t="s">
        <v>314</v>
      </c>
      <c r="BF35" t="s">
        <v>294</v>
      </c>
      <c r="BG35" t="s">
        <v>300</v>
      </c>
      <c r="BH35" t="s">
        <v>281</v>
      </c>
      <c r="BI35">
        <v>2</v>
      </c>
      <c r="BJ35" t="s">
        <v>370</v>
      </c>
      <c r="BK35" t="s">
        <v>447</v>
      </c>
      <c r="BL35" t="s">
        <v>443</v>
      </c>
      <c r="BM35" t="s">
        <v>444</v>
      </c>
      <c r="BN35" t="str">
        <f t="shared" si="3"/>
        <v>SILENCE_MUSIC</v>
      </c>
      <c r="BO35" t="s">
        <v>267</v>
      </c>
      <c r="BQ35">
        <v>6</v>
      </c>
      <c r="BR35">
        <v>6</v>
      </c>
      <c r="BS35" s="35">
        <v>5.986842105</v>
      </c>
      <c r="BT35" s="35">
        <v>0.41447368400000001</v>
      </c>
      <c r="BU35" s="35">
        <v>1.0152490380000001</v>
      </c>
      <c r="BV35" s="35"/>
      <c r="BW35" s="35">
        <v>12.06578947</v>
      </c>
      <c r="BX35" s="35">
        <v>0.82894736800000002</v>
      </c>
      <c r="BY35" s="35">
        <v>2.0304980760000002</v>
      </c>
      <c r="CB35" t="s">
        <v>268</v>
      </c>
      <c r="CD35" t="s">
        <v>268</v>
      </c>
      <c r="CE35" t="s">
        <v>267</v>
      </c>
      <c r="CF35" t="s">
        <v>309</v>
      </c>
      <c r="CG35" t="s">
        <v>268</v>
      </c>
      <c r="CI35" t="s">
        <v>268</v>
      </c>
      <c r="CK35" s="30">
        <f t="shared" si="1"/>
        <v>2</v>
      </c>
      <c r="CL35">
        <f t="shared" si="2"/>
        <v>8</v>
      </c>
    </row>
    <row r="36" spans="1:90" hidden="1" x14ac:dyDescent="0.35">
      <c r="A36" t="s">
        <v>586</v>
      </c>
      <c r="B36" t="s">
        <v>435</v>
      </c>
      <c r="C36" t="s">
        <v>436</v>
      </c>
      <c r="D36" t="s">
        <v>437</v>
      </c>
      <c r="E36" t="s">
        <v>438</v>
      </c>
      <c r="F36">
        <v>2014</v>
      </c>
      <c r="G36" t="s">
        <v>344</v>
      </c>
      <c r="I36" t="s">
        <v>331</v>
      </c>
      <c r="K36" t="s">
        <v>178</v>
      </c>
      <c r="L36" t="s">
        <v>177</v>
      </c>
      <c r="M36" t="s">
        <v>1125</v>
      </c>
      <c r="N36" t="s">
        <v>193</v>
      </c>
      <c r="O36" t="s">
        <v>187</v>
      </c>
      <c r="P36" t="s">
        <v>439</v>
      </c>
      <c r="Q36" t="s">
        <v>187</v>
      </c>
      <c r="S36" t="s">
        <v>194</v>
      </c>
      <c r="U36" t="s">
        <v>1117</v>
      </c>
      <c r="V36" t="s">
        <v>268</v>
      </c>
      <c r="X36" t="s">
        <v>269</v>
      </c>
      <c r="AE36" t="s">
        <v>273</v>
      </c>
      <c r="AG36" t="s">
        <v>275</v>
      </c>
      <c r="AI36" t="s">
        <v>345</v>
      </c>
      <c r="AK36">
        <v>0.5</v>
      </c>
      <c r="AM36">
        <v>1</v>
      </c>
      <c r="AN36" t="s">
        <v>440</v>
      </c>
      <c r="AO36" t="s">
        <v>1104</v>
      </c>
      <c r="AP36" t="s">
        <v>281</v>
      </c>
      <c r="AQ36" t="s">
        <v>283</v>
      </c>
      <c r="AR36" t="s">
        <v>441</v>
      </c>
      <c r="AS36" t="s">
        <v>1094</v>
      </c>
      <c r="AT36">
        <v>65</v>
      </c>
      <c r="AU36" t="s">
        <v>433</v>
      </c>
      <c r="AV36" s="30">
        <v>2</v>
      </c>
      <c r="AW36" t="s">
        <v>288</v>
      </c>
      <c r="AX36">
        <v>65</v>
      </c>
      <c r="AZ36" t="s">
        <v>433</v>
      </c>
      <c r="BA36">
        <v>2</v>
      </c>
      <c r="BB36" t="s">
        <v>289</v>
      </c>
      <c r="BC36" t="s">
        <v>239</v>
      </c>
      <c r="BE36" t="s">
        <v>314</v>
      </c>
      <c r="BF36" t="s">
        <v>294</v>
      </c>
      <c r="BG36" t="s">
        <v>300</v>
      </c>
      <c r="BH36" t="s">
        <v>281</v>
      </c>
      <c r="BI36">
        <v>2</v>
      </c>
      <c r="BJ36" t="s">
        <v>370</v>
      </c>
      <c r="BK36" t="s">
        <v>447</v>
      </c>
      <c r="BL36" t="s">
        <v>446</v>
      </c>
      <c r="BM36" t="s">
        <v>444</v>
      </c>
      <c r="BN36" t="str">
        <f t="shared" si="3"/>
        <v>WHITE.NOISE_MUSIC</v>
      </c>
      <c r="BO36" t="s">
        <v>267</v>
      </c>
      <c r="BQ36">
        <v>6</v>
      </c>
      <c r="BR36">
        <v>6</v>
      </c>
      <c r="BS36" s="35">
        <v>3.0394736839999998</v>
      </c>
      <c r="BT36" s="35">
        <v>0.18421052600000001</v>
      </c>
      <c r="BU36" s="35">
        <v>0.45122179499999998</v>
      </c>
      <c r="BV36" s="35"/>
      <c r="BW36" s="35">
        <v>12.06578947</v>
      </c>
      <c r="BX36" s="35">
        <v>0.82894736800000002</v>
      </c>
      <c r="BY36" s="35">
        <v>2.0304980760000002</v>
      </c>
      <c r="CB36" t="s">
        <v>268</v>
      </c>
      <c r="CD36" t="s">
        <v>268</v>
      </c>
      <c r="CE36" t="s">
        <v>267</v>
      </c>
      <c r="CF36" t="s">
        <v>309</v>
      </c>
      <c r="CG36" t="s">
        <v>268</v>
      </c>
      <c r="CI36" t="s">
        <v>268</v>
      </c>
      <c r="CK36" s="30">
        <f t="shared" si="1"/>
        <v>2</v>
      </c>
      <c r="CL36">
        <f t="shared" si="2"/>
        <v>8</v>
      </c>
    </row>
    <row r="37" spans="1:90" hidden="1" x14ac:dyDescent="0.35">
      <c r="A37" t="s">
        <v>587</v>
      </c>
      <c r="B37" t="s">
        <v>435</v>
      </c>
      <c r="C37" t="s">
        <v>436</v>
      </c>
      <c r="D37" t="s">
        <v>437</v>
      </c>
      <c r="E37" t="s">
        <v>438</v>
      </c>
      <c r="F37">
        <v>2014</v>
      </c>
      <c r="G37" t="s">
        <v>175</v>
      </c>
      <c r="I37" t="s">
        <v>332</v>
      </c>
      <c r="K37" t="s">
        <v>178</v>
      </c>
      <c r="L37" t="s">
        <v>177</v>
      </c>
      <c r="M37" t="s">
        <v>1125</v>
      </c>
      <c r="N37" t="s">
        <v>193</v>
      </c>
      <c r="O37" t="s">
        <v>187</v>
      </c>
      <c r="P37" t="s">
        <v>439</v>
      </c>
      <c r="Q37" t="s">
        <v>187</v>
      </c>
      <c r="S37" t="s">
        <v>194</v>
      </c>
      <c r="U37" t="s">
        <v>1117</v>
      </c>
      <c r="V37" t="s">
        <v>268</v>
      </c>
      <c r="X37" t="s">
        <v>269</v>
      </c>
      <c r="AE37" t="s">
        <v>273</v>
      </c>
      <c r="AG37" t="s">
        <v>275</v>
      </c>
      <c r="AI37" t="s">
        <v>345</v>
      </c>
      <c r="AK37">
        <v>0.5</v>
      </c>
      <c r="AM37">
        <v>1</v>
      </c>
      <c r="AN37" t="s">
        <v>440</v>
      </c>
      <c r="AO37" t="s">
        <v>1104</v>
      </c>
      <c r="AP37" t="s">
        <v>281</v>
      </c>
      <c r="AQ37" t="s">
        <v>283</v>
      </c>
      <c r="AR37" t="s">
        <v>441</v>
      </c>
      <c r="AS37" t="s">
        <v>1094</v>
      </c>
      <c r="AT37">
        <v>65</v>
      </c>
      <c r="AU37" t="s">
        <v>433</v>
      </c>
      <c r="AV37" s="30">
        <v>2</v>
      </c>
      <c r="AW37" t="s">
        <v>287</v>
      </c>
      <c r="AX37">
        <v>55</v>
      </c>
      <c r="AZ37" t="s">
        <v>829</v>
      </c>
      <c r="BA37">
        <v>2</v>
      </c>
      <c r="BB37" t="s">
        <v>289</v>
      </c>
      <c r="BC37" t="s">
        <v>247</v>
      </c>
      <c r="BE37" t="s">
        <v>450</v>
      </c>
      <c r="BF37" t="s">
        <v>291</v>
      </c>
      <c r="BG37" t="s">
        <v>297</v>
      </c>
      <c r="BH37" t="s">
        <v>281</v>
      </c>
      <c r="BI37">
        <v>2</v>
      </c>
      <c r="BJ37" t="s">
        <v>370</v>
      </c>
      <c r="BK37" t="s">
        <v>449</v>
      </c>
      <c r="BL37" t="s">
        <v>443</v>
      </c>
      <c r="BM37" t="s">
        <v>444</v>
      </c>
      <c r="BN37" t="str">
        <f t="shared" si="3"/>
        <v>SILENCE_MUSIC</v>
      </c>
      <c r="BO37" t="s">
        <v>268</v>
      </c>
      <c r="BP37" t="s">
        <v>448</v>
      </c>
      <c r="BQ37">
        <v>6</v>
      </c>
      <c r="BR37">
        <v>6</v>
      </c>
      <c r="BS37" s="35">
        <v>150.91743120000001</v>
      </c>
      <c r="BT37" s="35">
        <v>11.773700310000001</v>
      </c>
      <c r="BU37" s="35">
        <v>28.83955813</v>
      </c>
      <c r="BV37" s="35"/>
      <c r="BW37" s="35">
        <v>55.657492349999998</v>
      </c>
      <c r="BX37" s="35">
        <v>3.211009174</v>
      </c>
      <c r="BY37" s="35">
        <v>7.8653340360000001</v>
      </c>
      <c r="CB37" t="s">
        <v>268</v>
      </c>
      <c r="CD37" t="s">
        <v>268</v>
      </c>
      <c r="CE37" t="s">
        <v>267</v>
      </c>
      <c r="CF37" t="s">
        <v>309</v>
      </c>
      <c r="CG37" t="s">
        <v>268</v>
      </c>
      <c r="CI37" t="s">
        <v>268</v>
      </c>
      <c r="CK37" s="30">
        <f t="shared" si="1"/>
        <v>2</v>
      </c>
      <c r="CL37">
        <f t="shared" si="2"/>
        <v>8</v>
      </c>
    </row>
    <row r="38" spans="1:90" hidden="1" x14ac:dyDescent="0.35">
      <c r="A38" t="s">
        <v>588</v>
      </c>
      <c r="B38" t="s">
        <v>435</v>
      </c>
      <c r="C38" t="s">
        <v>436</v>
      </c>
      <c r="D38" t="s">
        <v>437</v>
      </c>
      <c r="E38" t="s">
        <v>438</v>
      </c>
      <c r="F38">
        <v>2014</v>
      </c>
      <c r="G38" t="s">
        <v>344</v>
      </c>
      <c r="I38" t="s">
        <v>332</v>
      </c>
      <c r="K38" t="s">
        <v>178</v>
      </c>
      <c r="L38" t="s">
        <v>177</v>
      </c>
      <c r="M38" t="s">
        <v>1125</v>
      </c>
      <c r="N38" t="s">
        <v>193</v>
      </c>
      <c r="O38" t="s">
        <v>187</v>
      </c>
      <c r="P38" t="s">
        <v>439</v>
      </c>
      <c r="Q38" t="s">
        <v>187</v>
      </c>
      <c r="S38" t="s">
        <v>194</v>
      </c>
      <c r="U38" t="s">
        <v>1117</v>
      </c>
      <c r="V38" t="s">
        <v>268</v>
      </c>
      <c r="X38" t="s">
        <v>269</v>
      </c>
      <c r="AE38" t="s">
        <v>273</v>
      </c>
      <c r="AG38" t="s">
        <v>275</v>
      </c>
      <c r="AI38" t="s">
        <v>345</v>
      </c>
      <c r="AK38">
        <v>0.5</v>
      </c>
      <c r="AM38">
        <v>1</v>
      </c>
      <c r="AN38" t="s">
        <v>440</v>
      </c>
      <c r="AO38" t="s">
        <v>1104</v>
      </c>
      <c r="AP38" t="s">
        <v>281</v>
      </c>
      <c r="AQ38" t="s">
        <v>283</v>
      </c>
      <c r="AR38" t="s">
        <v>441</v>
      </c>
      <c r="AS38" t="s">
        <v>1094</v>
      </c>
      <c r="AT38">
        <v>65</v>
      </c>
      <c r="AU38" t="s">
        <v>433</v>
      </c>
      <c r="AV38" s="30">
        <v>2</v>
      </c>
      <c r="AW38" t="s">
        <v>288</v>
      </c>
      <c r="AX38">
        <v>65</v>
      </c>
      <c r="AZ38" t="s">
        <v>433</v>
      </c>
      <c r="BA38">
        <v>2</v>
      </c>
      <c r="BB38" t="s">
        <v>289</v>
      </c>
      <c r="BC38" t="s">
        <v>247</v>
      </c>
      <c r="BE38" t="s">
        <v>450</v>
      </c>
      <c r="BF38" t="s">
        <v>291</v>
      </c>
      <c r="BG38" t="s">
        <v>297</v>
      </c>
      <c r="BH38" t="s">
        <v>281</v>
      </c>
      <c r="BI38">
        <v>2</v>
      </c>
      <c r="BJ38" t="s">
        <v>370</v>
      </c>
      <c r="BK38" t="s">
        <v>449</v>
      </c>
      <c r="BL38" t="s">
        <v>446</v>
      </c>
      <c r="BM38" t="s">
        <v>444</v>
      </c>
      <c r="BN38" t="str">
        <f t="shared" si="3"/>
        <v>WHITE.NOISE_MUSIC</v>
      </c>
      <c r="BO38" t="s">
        <v>268</v>
      </c>
      <c r="BQ38">
        <v>6</v>
      </c>
      <c r="BR38">
        <v>6</v>
      </c>
      <c r="BS38" s="35">
        <v>281.49847089999997</v>
      </c>
      <c r="BT38" s="35">
        <v>19.266055049999999</v>
      </c>
      <c r="BU38" s="35">
        <v>47.192004220000001</v>
      </c>
      <c r="BV38" s="35"/>
      <c r="BW38" s="35">
        <v>55.657492349999998</v>
      </c>
      <c r="BX38" s="35">
        <v>3.211009174</v>
      </c>
      <c r="BY38" s="35">
        <v>7.8653340360000001</v>
      </c>
      <c r="CB38" t="s">
        <v>268</v>
      </c>
      <c r="CD38" t="s">
        <v>268</v>
      </c>
      <c r="CE38" t="s">
        <v>267</v>
      </c>
      <c r="CF38" t="s">
        <v>309</v>
      </c>
      <c r="CG38" t="s">
        <v>268</v>
      </c>
      <c r="CI38" t="s">
        <v>268</v>
      </c>
      <c r="CK38" s="30">
        <f t="shared" si="1"/>
        <v>2</v>
      </c>
      <c r="CL38">
        <f t="shared" si="2"/>
        <v>8</v>
      </c>
    </row>
    <row r="39" spans="1:90" hidden="1" x14ac:dyDescent="0.35">
      <c r="A39" t="s">
        <v>589</v>
      </c>
      <c r="B39" t="s">
        <v>435</v>
      </c>
      <c r="C39" t="s">
        <v>436</v>
      </c>
      <c r="D39" t="s">
        <v>437</v>
      </c>
      <c r="E39" t="s">
        <v>438</v>
      </c>
      <c r="F39">
        <v>2014</v>
      </c>
      <c r="G39" t="s">
        <v>175</v>
      </c>
      <c r="I39" t="s">
        <v>333</v>
      </c>
      <c r="K39" t="s">
        <v>178</v>
      </c>
      <c r="L39" t="s">
        <v>177</v>
      </c>
      <c r="M39" t="s">
        <v>1125</v>
      </c>
      <c r="N39" t="s">
        <v>193</v>
      </c>
      <c r="O39" t="s">
        <v>187</v>
      </c>
      <c r="P39" t="s">
        <v>439</v>
      </c>
      <c r="Q39" t="s">
        <v>187</v>
      </c>
      <c r="S39" t="s">
        <v>194</v>
      </c>
      <c r="U39" t="s">
        <v>1117</v>
      </c>
      <c r="V39" t="s">
        <v>268</v>
      </c>
      <c r="X39" t="s">
        <v>269</v>
      </c>
      <c r="AE39" t="s">
        <v>273</v>
      </c>
      <c r="AG39" t="s">
        <v>275</v>
      </c>
      <c r="AI39" t="s">
        <v>345</v>
      </c>
      <c r="AK39">
        <v>0.5</v>
      </c>
      <c r="AM39">
        <v>1</v>
      </c>
      <c r="AN39" t="s">
        <v>440</v>
      </c>
      <c r="AO39" t="s">
        <v>1104</v>
      </c>
      <c r="AP39" t="s">
        <v>281</v>
      </c>
      <c r="AQ39" t="s">
        <v>283</v>
      </c>
      <c r="AR39" t="s">
        <v>441</v>
      </c>
      <c r="AS39" t="s">
        <v>1094</v>
      </c>
      <c r="AT39">
        <v>65</v>
      </c>
      <c r="AU39" t="s">
        <v>433</v>
      </c>
      <c r="AV39" s="30">
        <v>2</v>
      </c>
      <c r="AW39" t="s">
        <v>287</v>
      </c>
      <c r="AX39">
        <v>55</v>
      </c>
      <c r="AZ39" t="s">
        <v>829</v>
      </c>
      <c r="BA39">
        <v>2</v>
      </c>
      <c r="BB39" t="s">
        <v>289</v>
      </c>
      <c r="BC39" t="s">
        <v>247</v>
      </c>
      <c r="BE39" t="s">
        <v>451</v>
      </c>
      <c r="BF39" t="s">
        <v>291</v>
      </c>
      <c r="BG39" t="s">
        <v>297</v>
      </c>
      <c r="BH39" t="s">
        <v>281</v>
      </c>
      <c r="BI39">
        <v>2</v>
      </c>
      <c r="BJ39" t="s">
        <v>370</v>
      </c>
      <c r="BK39" t="s">
        <v>452</v>
      </c>
      <c r="BL39" t="s">
        <v>443</v>
      </c>
      <c r="BM39" t="s">
        <v>444</v>
      </c>
      <c r="BN39" t="str">
        <f t="shared" si="3"/>
        <v>SILENCE_MUSIC</v>
      </c>
      <c r="BO39" t="s">
        <v>267</v>
      </c>
      <c r="BQ39">
        <v>6</v>
      </c>
      <c r="BR39">
        <v>6</v>
      </c>
      <c r="BS39" s="35">
        <v>28.294960509999999</v>
      </c>
      <c r="BT39" s="35">
        <v>2.1313469020000002</v>
      </c>
      <c r="BU39" s="35">
        <v>5.2207123759999998</v>
      </c>
      <c r="BV39" s="35"/>
      <c r="BW39" s="35">
        <v>62.159694629999997</v>
      </c>
      <c r="BX39" s="35">
        <v>3.5522448369999999</v>
      </c>
      <c r="BY39" s="35">
        <v>8.7011872930000003</v>
      </c>
      <c r="CB39" t="s">
        <v>268</v>
      </c>
      <c r="CD39" t="s">
        <v>268</v>
      </c>
      <c r="CE39" t="s">
        <v>267</v>
      </c>
      <c r="CF39" t="s">
        <v>309</v>
      </c>
      <c r="CG39" t="s">
        <v>268</v>
      </c>
      <c r="CI39" t="s">
        <v>268</v>
      </c>
      <c r="CK39" s="30">
        <f t="shared" si="1"/>
        <v>2</v>
      </c>
      <c r="CL39">
        <f t="shared" si="2"/>
        <v>8</v>
      </c>
    </row>
    <row r="40" spans="1:90" hidden="1" x14ac:dyDescent="0.35">
      <c r="A40" t="s">
        <v>590</v>
      </c>
      <c r="B40" t="s">
        <v>435</v>
      </c>
      <c r="C40" t="s">
        <v>436</v>
      </c>
      <c r="D40" t="s">
        <v>437</v>
      </c>
      <c r="E40" t="s">
        <v>438</v>
      </c>
      <c r="F40">
        <v>2014</v>
      </c>
      <c r="G40" t="s">
        <v>344</v>
      </c>
      <c r="I40" t="s">
        <v>333</v>
      </c>
      <c r="K40" t="s">
        <v>178</v>
      </c>
      <c r="L40" t="s">
        <v>177</v>
      </c>
      <c r="M40" t="s">
        <v>1125</v>
      </c>
      <c r="N40" t="s">
        <v>193</v>
      </c>
      <c r="O40" t="s">
        <v>187</v>
      </c>
      <c r="P40" t="s">
        <v>439</v>
      </c>
      <c r="Q40" t="s">
        <v>187</v>
      </c>
      <c r="S40" t="s">
        <v>194</v>
      </c>
      <c r="U40" t="s">
        <v>1117</v>
      </c>
      <c r="V40" t="s">
        <v>268</v>
      </c>
      <c r="X40" t="s">
        <v>269</v>
      </c>
      <c r="AE40" t="s">
        <v>273</v>
      </c>
      <c r="AG40" t="s">
        <v>275</v>
      </c>
      <c r="AI40" t="s">
        <v>345</v>
      </c>
      <c r="AK40">
        <v>0.5</v>
      </c>
      <c r="AM40">
        <v>1</v>
      </c>
      <c r="AN40" t="s">
        <v>440</v>
      </c>
      <c r="AO40" t="s">
        <v>1104</v>
      </c>
      <c r="AP40" t="s">
        <v>281</v>
      </c>
      <c r="AQ40" t="s">
        <v>283</v>
      </c>
      <c r="AR40" t="s">
        <v>441</v>
      </c>
      <c r="AS40" t="s">
        <v>1094</v>
      </c>
      <c r="AT40">
        <v>65</v>
      </c>
      <c r="AU40" t="s">
        <v>433</v>
      </c>
      <c r="AV40" s="30">
        <v>2</v>
      </c>
      <c r="AW40" t="s">
        <v>288</v>
      </c>
      <c r="AX40">
        <v>65</v>
      </c>
      <c r="AZ40" t="s">
        <v>433</v>
      </c>
      <c r="BA40">
        <v>2</v>
      </c>
      <c r="BB40" t="s">
        <v>289</v>
      </c>
      <c r="BC40" t="s">
        <v>247</v>
      </c>
      <c r="BE40" t="s">
        <v>451</v>
      </c>
      <c r="BF40" t="s">
        <v>291</v>
      </c>
      <c r="BG40" t="s">
        <v>297</v>
      </c>
      <c r="BH40" t="s">
        <v>281</v>
      </c>
      <c r="BI40">
        <v>2</v>
      </c>
      <c r="BJ40" t="s">
        <v>370</v>
      </c>
      <c r="BK40" t="s">
        <v>452</v>
      </c>
      <c r="BL40" t="s">
        <v>446</v>
      </c>
      <c r="BM40" t="s">
        <v>444</v>
      </c>
      <c r="BN40" t="str">
        <f t="shared" si="3"/>
        <v>WHITE.NOISE_MUSIC</v>
      </c>
      <c r="BO40" t="s">
        <v>267</v>
      </c>
      <c r="BQ40">
        <v>6</v>
      </c>
      <c r="BR40">
        <v>6</v>
      </c>
      <c r="BS40" s="35">
        <v>6.2710425240000003</v>
      </c>
      <c r="BT40" s="35">
        <v>0.47363264500000002</v>
      </c>
      <c r="BU40" s="35">
        <v>1.160158306</v>
      </c>
      <c r="BV40" s="35"/>
      <c r="BW40" s="35">
        <v>62.159694629999997</v>
      </c>
      <c r="BX40" s="35">
        <v>3.5522448369999999</v>
      </c>
      <c r="BY40" s="35">
        <v>8.7011872930000003</v>
      </c>
      <c r="CB40" t="s">
        <v>268</v>
      </c>
      <c r="CD40" t="s">
        <v>268</v>
      </c>
      <c r="CE40" t="s">
        <v>267</v>
      </c>
      <c r="CF40" t="s">
        <v>309</v>
      </c>
      <c r="CG40" t="s">
        <v>268</v>
      </c>
      <c r="CI40" t="s">
        <v>268</v>
      </c>
      <c r="CK40" s="30">
        <f t="shared" si="1"/>
        <v>2</v>
      </c>
      <c r="CL40">
        <f t="shared" si="2"/>
        <v>8</v>
      </c>
    </row>
    <row r="41" spans="1:90" hidden="1" x14ac:dyDescent="0.35">
      <c r="A41" t="s">
        <v>591</v>
      </c>
      <c r="B41" t="s">
        <v>435</v>
      </c>
      <c r="C41" t="s">
        <v>436</v>
      </c>
      <c r="D41" t="s">
        <v>437</v>
      </c>
      <c r="E41" t="s">
        <v>438</v>
      </c>
      <c r="F41">
        <v>2014</v>
      </c>
      <c r="G41" t="s">
        <v>453</v>
      </c>
      <c r="I41" t="s">
        <v>176</v>
      </c>
      <c r="K41" t="s">
        <v>178</v>
      </c>
      <c r="L41" t="s">
        <v>177</v>
      </c>
      <c r="M41" t="s">
        <v>1125</v>
      </c>
      <c r="N41" t="s">
        <v>193</v>
      </c>
      <c r="O41" t="s">
        <v>187</v>
      </c>
      <c r="P41" t="s">
        <v>456</v>
      </c>
      <c r="Q41" t="s">
        <v>187</v>
      </c>
      <c r="S41" t="s">
        <v>204</v>
      </c>
      <c r="U41" t="s">
        <v>1117</v>
      </c>
      <c r="V41" t="s">
        <v>267</v>
      </c>
      <c r="W41" t="s">
        <v>455</v>
      </c>
      <c r="X41" t="s">
        <v>269</v>
      </c>
      <c r="AE41" t="s">
        <v>274</v>
      </c>
      <c r="AG41" t="s">
        <v>275</v>
      </c>
      <c r="AI41" t="s">
        <v>345</v>
      </c>
      <c r="AK41">
        <v>0.5</v>
      </c>
      <c r="AM41">
        <v>1</v>
      </c>
      <c r="AN41" t="s">
        <v>440</v>
      </c>
      <c r="AO41" t="s">
        <v>1104</v>
      </c>
      <c r="AP41" t="s">
        <v>281</v>
      </c>
      <c r="AQ41" t="s">
        <v>283</v>
      </c>
      <c r="AR41" t="s">
        <v>441</v>
      </c>
      <c r="AS41" t="s">
        <v>1094</v>
      </c>
      <c r="AT41">
        <v>65</v>
      </c>
      <c r="AU41" t="s">
        <v>433</v>
      </c>
      <c r="AV41" s="30">
        <v>2</v>
      </c>
      <c r="AW41" t="s">
        <v>287</v>
      </c>
      <c r="AX41">
        <v>55</v>
      </c>
      <c r="AZ41" t="s">
        <v>829</v>
      </c>
      <c r="BA41">
        <v>2</v>
      </c>
      <c r="BB41" t="s">
        <v>289</v>
      </c>
      <c r="BC41" t="s">
        <v>239</v>
      </c>
      <c r="BE41" t="s">
        <v>336</v>
      </c>
      <c r="BF41" t="s">
        <v>291</v>
      </c>
      <c r="BG41" t="s">
        <v>297</v>
      </c>
      <c r="BH41" t="s">
        <v>281</v>
      </c>
      <c r="BI41">
        <v>2</v>
      </c>
      <c r="BJ41" t="s">
        <v>315</v>
      </c>
      <c r="BK41" t="s">
        <v>457</v>
      </c>
      <c r="BL41" t="s">
        <v>443</v>
      </c>
      <c r="BM41" t="s">
        <v>444</v>
      </c>
      <c r="BN41" t="str">
        <f t="shared" si="3"/>
        <v>SILENCE_MUSIC</v>
      </c>
      <c r="BO41" t="s">
        <v>267</v>
      </c>
      <c r="BQ41">
        <v>6</v>
      </c>
      <c r="BR41">
        <v>6</v>
      </c>
      <c r="BS41" s="35">
        <v>56.130790189999999</v>
      </c>
      <c r="BT41" s="35">
        <v>0.54495912800000001</v>
      </c>
      <c r="BU41" s="35">
        <v>1.3348717939999999</v>
      </c>
      <c r="BV41" s="35"/>
      <c r="BW41" s="35">
        <v>85.286103539999999</v>
      </c>
      <c r="BX41" s="35">
        <v>4.3596730250000002</v>
      </c>
      <c r="BY41" s="35">
        <v>10.67897436</v>
      </c>
      <c r="CB41" t="s">
        <v>268</v>
      </c>
      <c r="CD41" t="s">
        <v>268</v>
      </c>
      <c r="CE41" t="s">
        <v>267</v>
      </c>
      <c r="CF41" t="s">
        <v>309</v>
      </c>
      <c r="CG41" t="s">
        <v>268</v>
      </c>
      <c r="CI41" t="s">
        <v>268</v>
      </c>
      <c r="CK41" s="30">
        <f t="shared" si="1"/>
        <v>2</v>
      </c>
      <c r="CL41">
        <f t="shared" si="2"/>
        <v>8</v>
      </c>
    </row>
    <row r="42" spans="1:90" hidden="1" x14ac:dyDescent="0.35">
      <c r="A42" t="s">
        <v>592</v>
      </c>
      <c r="B42" t="s">
        <v>435</v>
      </c>
      <c r="C42" t="s">
        <v>436</v>
      </c>
      <c r="D42" t="s">
        <v>437</v>
      </c>
      <c r="E42" t="s">
        <v>438</v>
      </c>
      <c r="F42">
        <v>2014</v>
      </c>
      <c r="G42" t="s">
        <v>454</v>
      </c>
      <c r="I42" t="s">
        <v>176</v>
      </c>
      <c r="K42" t="s">
        <v>178</v>
      </c>
      <c r="L42" t="s">
        <v>177</v>
      </c>
      <c r="M42" t="s">
        <v>1125</v>
      </c>
      <c r="N42" t="s">
        <v>193</v>
      </c>
      <c r="O42" t="s">
        <v>187</v>
      </c>
      <c r="P42" t="s">
        <v>456</v>
      </c>
      <c r="Q42" t="s">
        <v>187</v>
      </c>
      <c r="S42" t="s">
        <v>204</v>
      </c>
      <c r="U42" t="s">
        <v>1117</v>
      </c>
      <c r="V42" t="s">
        <v>267</v>
      </c>
      <c r="W42" t="s">
        <v>455</v>
      </c>
      <c r="X42" t="s">
        <v>269</v>
      </c>
      <c r="AE42" t="s">
        <v>274</v>
      </c>
      <c r="AG42" t="s">
        <v>275</v>
      </c>
      <c r="AI42" t="s">
        <v>345</v>
      </c>
      <c r="AK42">
        <v>0.5</v>
      </c>
      <c r="AM42">
        <v>1</v>
      </c>
      <c r="AN42" t="s">
        <v>440</v>
      </c>
      <c r="AO42" t="s">
        <v>1104</v>
      </c>
      <c r="AP42" t="s">
        <v>281</v>
      </c>
      <c r="AQ42" t="s">
        <v>283</v>
      </c>
      <c r="AR42" t="s">
        <v>441</v>
      </c>
      <c r="AS42" t="s">
        <v>1094</v>
      </c>
      <c r="AT42">
        <v>65</v>
      </c>
      <c r="AU42" t="s">
        <v>433</v>
      </c>
      <c r="AV42" s="30">
        <v>2</v>
      </c>
      <c r="AW42" t="s">
        <v>288</v>
      </c>
      <c r="AX42">
        <v>65</v>
      </c>
      <c r="AZ42" t="s">
        <v>433</v>
      </c>
      <c r="BA42">
        <v>2</v>
      </c>
      <c r="BB42" t="s">
        <v>289</v>
      </c>
      <c r="BC42" t="s">
        <v>239</v>
      </c>
      <c r="BE42" t="s">
        <v>336</v>
      </c>
      <c r="BF42" t="s">
        <v>291</v>
      </c>
      <c r="BG42" t="s">
        <v>297</v>
      </c>
      <c r="BH42" t="s">
        <v>281</v>
      </c>
      <c r="BI42">
        <v>2</v>
      </c>
      <c r="BJ42" t="s">
        <v>315</v>
      </c>
      <c r="BK42" t="s">
        <v>457</v>
      </c>
      <c r="BL42" t="s">
        <v>446</v>
      </c>
      <c r="BM42" t="s">
        <v>444</v>
      </c>
      <c r="BN42" t="str">
        <f t="shared" si="3"/>
        <v>WHITE.NOISE_MUSIC</v>
      </c>
      <c r="BO42" t="s">
        <v>267</v>
      </c>
      <c r="BQ42">
        <v>6</v>
      </c>
      <c r="BR42">
        <v>6</v>
      </c>
      <c r="BS42" s="35">
        <v>15.25885559</v>
      </c>
      <c r="BT42" s="35">
        <v>4.3596730250000002</v>
      </c>
      <c r="BU42" s="35">
        <v>10.67897436</v>
      </c>
      <c r="BV42" s="35"/>
      <c r="BW42" s="35">
        <v>85.286103539999999</v>
      </c>
      <c r="BX42" s="35">
        <v>4.3596730250000002</v>
      </c>
      <c r="BY42" s="35">
        <v>10.67897436</v>
      </c>
      <c r="CB42" t="s">
        <v>268</v>
      </c>
      <c r="CD42" t="s">
        <v>268</v>
      </c>
      <c r="CE42" t="s">
        <v>267</v>
      </c>
      <c r="CF42" t="s">
        <v>309</v>
      </c>
      <c r="CG42" t="s">
        <v>268</v>
      </c>
      <c r="CI42" t="s">
        <v>268</v>
      </c>
      <c r="CK42" s="30">
        <f t="shared" si="1"/>
        <v>2</v>
      </c>
      <c r="CL42">
        <f t="shared" si="2"/>
        <v>8</v>
      </c>
    </row>
    <row r="43" spans="1:90" hidden="1" x14ac:dyDescent="0.35">
      <c r="A43" t="s">
        <v>593</v>
      </c>
      <c r="B43" t="s">
        <v>435</v>
      </c>
      <c r="C43" t="s">
        <v>436</v>
      </c>
      <c r="D43" t="s">
        <v>437</v>
      </c>
      <c r="E43" t="s">
        <v>438</v>
      </c>
      <c r="F43">
        <v>2014</v>
      </c>
      <c r="G43" t="s">
        <v>453</v>
      </c>
      <c r="I43" t="s">
        <v>331</v>
      </c>
      <c r="K43" t="s">
        <v>178</v>
      </c>
      <c r="L43" t="s">
        <v>177</v>
      </c>
      <c r="M43" t="s">
        <v>1125</v>
      </c>
      <c r="N43" t="s">
        <v>193</v>
      </c>
      <c r="O43" t="s">
        <v>187</v>
      </c>
      <c r="P43" t="s">
        <v>456</v>
      </c>
      <c r="Q43" t="s">
        <v>187</v>
      </c>
      <c r="S43" t="s">
        <v>204</v>
      </c>
      <c r="U43" t="s">
        <v>1117</v>
      </c>
      <c r="V43" t="s">
        <v>267</v>
      </c>
      <c r="W43" t="s">
        <v>455</v>
      </c>
      <c r="X43" t="s">
        <v>269</v>
      </c>
      <c r="AE43" t="s">
        <v>274</v>
      </c>
      <c r="AG43" t="s">
        <v>275</v>
      </c>
      <c r="AI43" t="s">
        <v>345</v>
      </c>
      <c r="AK43">
        <v>0.5</v>
      </c>
      <c r="AM43">
        <v>1</v>
      </c>
      <c r="AN43" t="s">
        <v>440</v>
      </c>
      <c r="AO43" t="s">
        <v>1104</v>
      </c>
      <c r="AP43" t="s">
        <v>281</v>
      </c>
      <c r="AQ43" t="s">
        <v>283</v>
      </c>
      <c r="AR43" t="s">
        <v>441</v>
      </c>
      <c r="AS43" t="s">
        <v>1094</v>
      </c>
      <c r="AT43">
        <v>65</v>
      </c>
      <c r="AU43" t="s">
        <v>433</v>
      </c>
      <c r="AV43" s="30">
        <v>2</v>
      </c>
      <c r="AW43" t="s">
        <v>287</v>
      </c>
      <c r="AX43">
        <v>55</v>
      </c>
      <c r="AZ43" t="s">
        <v>829</v>
      </c>
      <c r="BA43">
        <v>2</v>
      </c>
      <c r="BB43" t="s">
        <v>289</v>
      </c>
      <c r="BC43" t="s">
        <v>239</v>
      </c>
      <c r="BE43" t="s">
        <v>314</v>
      </c>
      <c r="BF43" t="s">
        <v>294</v>
      </c>
      <c r="BG43" t="s">
        <v>300</v>
      </c>
      <c r="BH43" t="s">
        <v>281</v>
      </c>
      <c r="BI43">
        <v>2</v>
      </c>
      <c r="BJ43" t="s">
        <v>315</v>
      </c>
      <c r="BK43" t="s">
        <v>458</v>
      </c>
      <c r="BL43" t="s">
        <v>443</v>
      </c>
      <c r="BM43" t="s">
        <v>444</v>
      </c>
      <c r="BN43" t="str">
        <f t="shared" si="3"/>
        <v>SILENCE_MUSIC</v>
      </c>
      <c r="BO43" t="s">
        <v>267</v>
      </c>
      <c r="BQ43">
        <v>6</v>
      </c>
      <c r="BR43">
        <v>6</v>
      </c>
      <c r="BS43" s="35">
        <v>6.0215053760000004</v>
      </c>
      <c r="BT43" s="35">
        <v>0.60215053799999996</v>
      </c>
      <c r="BU43" s="35">
        <v>1.4749615659999999</v>
      </c>
      <c r="BV43" s="35"/>
      <c r="BW43" s="35">
        <v>12.043010750000001</v>
      </c>
      <c r="BX43" s="35">
        <v>0.75268817200000004</v>
      </c>
      <c r="BY43" s="35">
        <v>1.8437019569999999</v>
      </c>
      <c r="CB43" t="s">
        <v>268</v>
      </c>
      <c r="CD43" t="s">
        <v>268</v>
      </c>
      <c r="CE43" t="s">
        <v>267</v>
      </c>
      <c r="CF43" t="s">
        <v>309</v>
      </c>
      <c r="CG43" t="s">
        <v>268</v>
      </c>
      <c r="CI43" t="s">
        <v>268</v>
      </c>
      <c r="CK43" s="30">
        <f t="shared" si="1"/>
        <v>2</v>
      </c>
      <c r="CL43">
        <f t="shared" si="2"/>
        <v>8</v>
      </c>
    </row>
    <row r="44" spans="1:90" hidden="1" x14ac:dyDescent="0.35">
      <c r="A44" t="s">
        <v>594</v>
      </c>
      <c r="B44" t="s">
        <v>435</v>
      </c>
      <c r="C44" t="s">
        <v>436</v>
      </c>
      <c r="D44" t="s">
        <v>437</v>
      </c>
      <c r="E44" t="s">
        <v>438</v>
      </c>
      <c r="F44">
        <v>2014</v>
      </c>
      <c r="G44" t="s">
        <v>454</v>
      </c>
      <c r="I44" t="s">
        <v>331</v>
      </c>
      <c r="K44" t="s">
        <v>178</v>
      </c>
      <c r="L44" t="s">
        <v>177</v>
      </c>
      <c r="M44" t="s">
        <v>1125</v>
      </c>
      <c r="N44" t="s">
        <v>193</v>
      </c>
      <c r="O44" t="s">
        <v>187</v>
      </c>
      <c r="P44" t="s">
        <v>456</v>
      </c>
      <c r="Q44" t="s">
        <v>187</v>
      </c>
      <c r="S44" t="s">
        <v>204</v>
      </c>
      <c r="U44" t="s">
        <v>1117</v>
      </c>
      <c r="V44" t="s">
        <v>267</v>
      </c>
      <c r="W44" t="s">
        <v>455</v>
      </c>
      <c r="X44" t="s">
        <v>269</v>
      </c>
      <c r="AE44" t="s">
        <v>274</v>
      </c>
      <c r="AG44" t="s">
        <v>275</v>
      </c>
      <c r="AI44" t="s">
        <v>345</v>
      </c>
      <c r="AK44">
        <v>0.5</v>
      </c>
      <c r="AM44">
        <v>1</v>
      </c>
      <c r="AN44" t="s">
        <v>440</v>
      </c>
      <c r="AO44" t="s">
        <v>1104</v>
      </c>
      <c r="AP44" t="s">
        <v>281</v>
      </c>
      <c r="AQ44" t="s">
        <v>283</v>
      </c>
      <c r="AR44" t="s">
        <v>441</v>
      </c>
      <c r="AS44" t="s">
        <v>1094</v>
      </c>
      <c r="AT44">
        <v>65</v>
      </c>
      <c r="AU44" t="s">
        <v>433</v>
      </c>
      <c r="AV44" s="30">
        <v>2</v>
      </c>
      <c r="AW44" t="s">
        <v>288</v>
      </c>
      <c r="AX44">
        <v>65</v>
      </c>
      <c r="AZ44" t="s">
        <v>433</v>
      </c>
      <c r="BA44">
        <v>2</v>
      </c>
      <c r="BB44" t="s">
        <v>289</v>
      </c>
      <c r="BC44" t="s">
        <v>239</v>
      </c>
      <c r="BE44" t="s">
        <v>314</v>
      </c>
      <c r="BF44" t="s">
        <v>294</v>
      </c>
      <c r="BG44" t="s">
        <v>300</v>
      </c>
      <c r="BH44" t="s">
        <v>281</v>
      </c>
      <c r="BI44">
        <v>2</v>
      </c>
      <c r="BJ44" t="s">
        <v>315</v>
      </c>
      <c r="BK44" t="s">
        <v>458</v>
      </c>
      <c r="BL44" t="s">
        <v>446</v>
      </c>
      <c r="BM44" t="s">
        <v>444</v>
      </c>
      <c r="BN44" t="str">
        <f t="shared" si="3"/>
        <v>WHITE.NOISE_MUSIC</v>
      </c>
      <c r="BO44" t="s">
        <v>267</v>
      </c>
      <c r="BQ44">
        <v>6</v>
      </c>
      <c r="BR44">
        <v>6</v>
      </c>
      <c r="BS44" s="35">
        <v>3.0107526880000002</v>
      </c>
      <c r="BT44" s="35">
        <v>0.18817204300000001</v>
      </c>
      <c r="BU44" s="35">
        <v>0.46092548900000002</v>
      </c>
      <c r="BV44" s="35"/>
      <c r="BW44" s="35">
        <v>12.043010750000001</v>
      </c>
      <c r="BX44" s="35">
        <v>0.75268817200000004</v>
      </c>
      <c r="BY44" s="35">
        <v>1.8437019569999999</v>
      </c>
      <c r="CB44" t="s">
        <v>268</v>
      </c>
      <c r="CD44" t="s">
        <v>268</v>
      </c>
      <c r="CE44" t="s">
        <v>267</v>
      </c>
      <c r="CF44" t="s">
        <v>309</v>
      </c>
      <c r="CG44" t="s">
        <v>268</v>
      </c>
      <c r="CI44" t="s">
        <v>268</v>
      </c>
      <c r="CK44" s="30">
        <f t="shared" si="1"/>
        <v>2</v>
      </c>
      <c r="CL44">
        <f t="shared" si="2"/>
        <v>8</v>
      </c>
    </row>
    <row r="45" spans="1:90" hidden="1" x14ac:dyDescent="0.35">
      <c r="A45" t="s">
        <v>595</v>
      </c>
      <c r="B45" t="s">
        <v>435</v>
      </c>
      <c r="C45" t="s">
        <v>436</v>
      </c>
      <c r="D45" t="s">
        <v>437</v>
      </c>
      <c r="E45" t="s">
        <v>438</v>
      </c>
      <c r="F45">
        <v>2014</v>
      </c>
      <c r="G45" t="s">
        <v>453</v>
      </c>
      <c r="I45" t="s">
        <v>332</v>
      </c>
      <c r="K45" t="s">
        <v>178</v>
      </c>
      <c r="L45" t="s">
        <v>177</v>
      </c>
      <c r="M45" t="s">
        <v>1125</v>
      </c>
      <c r="N45" t="s">
        <v>193</v>
      </c>
      <c r="O45" t="s">
        <v>187</v>
      </c>
      <c r="P45" t="s">
        <v>456</v>
      </c>
      <c r="Q45" t="s">
        <v>187</v>
      </c>
      <c r="S45" t="s">
        <v>204</v>
      </c>
      <c r="U45" t="s">
        <v>1117</v>
      </c>
      <c r="V45" t="s">
        <v>267</v>
      </c>
      <c r="W45" t="s">
        <v>455</v>
      </c>
      <c r="X45" t="s">
        <v>269</v>
      </c>
      <c r="AE45" t="s">
        <v>274</v>
      </c>
      <c r="AG45" t="s">
        <v>275</v>
      </c>
      <c r="AI45" t="s">
        <v>345</v>
      </c>
      <c r="AK45">
        <v>0.5</v>
      </c>
      <c r="AM45">
        <v>1</v>
      </c>
      <c r="AN45" t="s">
        <v>440</v>
      </c>
      <c r="AO45" t="s">
        <v>1104</v>
      </c>
      <c r="AP45" t="s">
        <v>281</v>
      </c>
      <c r="AQ45" t="s">
        <v>283</v>
      </c>
      <c r="AR45" t="s">
        <v>441</v>
      </c>
      <c r="AS45" t="s">
        <v>1094</v>
      </c>
      <c r="AT45">
        <v>65</v>
      </c>
      <c r="AU45" t="s">
        <v>433</v>
      </c>
      <c r="AV45" s="30">
        <v>2</v>
      </c>
      <c r="AW45" t="s">
        <v>287</v>
      </c>
      <c r="AX45">
        <v>55</v>
      </c>
      <c r="AZ45" t="s">
        <v>829</v>
      </c>
      <c r="BA45">
        <v>2</v>
      </c>
      <c r="BB45" t="s">
        <v>289</v>
      </c>
      <c r="BC45" t="s">
        <v>247</v>
      </c>
      <c r="BE45" t="s">
        <v>450</v>
      </c>
      <c r="BF45" t="s">
        <v>291</v>
      </c>
      <c r="BG45" t="s">
        <v>297</v>
      </c>
      <c r="BH45" t="s">
        <v>281</v>
      </c>
      <c r="BI45">
        <v>2</v>
      </c>
      <c r="BJ45" t="s">
        <v>315</v>
      </c>
      <c r="BK45" t="s">
        <v>459</v>
      </c>
      <c r="BL45" t="s">
        <v>443</v>
      </c>
      <c r="BM45" t="s">
        <v>444</v>
      </c>
      <c r="BN45" t="str">
        <f t="shared" si="3"/>
        <v>SILENCE_MUSIC</v>
      </c>
      <c r="BO45" t="s">
        <v>268</v>
      </c>
      <c r="BQ45">
        <v>6</v>
      </c>
      <c r="BR45">
        <v>6</v>
      </c>
      <c r="BS45" s="35">
        <v>121.48997129999999</v>
      </c>
      <c r="BT45" s="35">
        <v>8.0229226360000006</v>
      </c>
      <c r="BU45" s="35">
        <v>19.652066699999999</v>
      </c>
      <c r="BV45" s="35"/>
      <c r="BW45" s="35">
        <v>50.429799430000003</v>
      </c>
      <c r="BX45" s="35">
        <v>3.438395415</v>
      </c>
      <c r="BY45" s="35">
        <v>8.4223143020000002</v>
      </c>
      <c r="CB45" t="s">
        <v>268</v>
      </c>
      <c r="CD45" t="s">
        <v>268</v>
      </c>
      <c r="CE45" t="s">
        <v>267</v>
      </c>
      <c r="CF45" t="s">
        <v>309</v>
      </c>
      <c r="CG45" t="s">
        <v>268</v>
      </c>
      <c r="CI45" t="s">
        <v>268</v>
      </c>
      <c r="CK45" s="30">
        <f t="shared" si="1"/>
        <v>2</v>
      </c>
      <c r="CL45">
        <f t="shared" si="2"/>
        <v>8</v>
      </c>
    </row>
    <row r="46" spans="1:90" hidden="1" x14ac:dyDescent="0.35">
      <c r="A46" t="s">
        <v>596</v>
      </c>
      <c r="B46" t="s">
        <v>435</v>
      </c>
      <c r="C46" t="s">
        <v>436</v>
      </c>
      <c r="D46" t="s">
        <v>437</v>
      </c>
      <c r="E46" t="s">
        <v>438</v>
      </c>
      <c r="F46">
        <v>2014</v>
      </c>
      <c r="G46" t="s">
        <v>454</v>
      </c>
      <c r="I46" t="s">
        <v>332</v>
      </c>
      <c r="K46" t="s">
        <v>178</v>
      </c>
      <c r="L46" t="s">
        <v>177</v>
      </c>
      <c r="M46" t="s">
        <v>1125</v>
      </c>
      <c r="N46" t="s">
        <v>193</v>
      </c>
      <c r="O46" t="s">
        <v>187</v>
      </c>
      <c r="P46" t="s">
        <v>456</v>
      </c>
      <c r="Q46" t="s">
        <v>187</v>
      </c>
      <c r="S46" t="s">
        <v>204</v>
      </c>
      <c r="U46" t="s">
        <v>1117</v>
      </c>
      <c r="V46" t="s">
        <v>267</v>
      </c>
      <c r="W46" t="s">
        <v>455</v>
      </c>
      <c r="X46" t="s">
        <v>269</v>
      </c>
      <c r="AE46" t="s">
        <v>274</v>
      </c>
      <c r="AG46" t="s">
        <v>275</v>
      </c>
      <c r="AI46" t="s">
        <v>345</v>
      </c>
      <c r="AK46">
        <v>0.5</v>
      </c>
      <c r="AM46">
        <v>1</v>
      </c>
      <c r="AN46" t="s">
        <v>440</v>
      </c>
      <c r="AO46" t="s">
        <v>1104</v>
      </c>
      <c r="AP46" t="s">
        <v>281</v>
      </c>
      <c r="AQ46" t="s">
        <v>283</v>
      </c>
      <c r="AR46" t="s">
        <v>441</v>
      </c>
      <c r="AS46" t="s">
        <v>1094</v>
      </c>
      <c r="AT46">
        <v>65</v>
      </c>
      <c r="AU46" t="s">
        <v>433</v>
      </c>
      <c r="AV46" s="30">
        <v>2</v>
      </c>
      <c r="AW46" t="s">
        <v>288</v>
      </c>
      <c r="AX46">
        <v>65</v>
      </c>
      <c r="AZ46" t="s">
        <v>433</v>
      </c>
      <c r="BA46">
        <v>2</v>
      </c>
      <c r="BB46" t="s">
        <v>289</v>
      </c>
      <c r="BC46" t="s">
        <v>247</v>
      </c>
      <c r="BE46" t="s">
        <v>450</v>
      </c>
      <c r="BF46" t="s">
        <v>291</v>
      </c>
      <c r="BG46" t="s">
        <v>297</v>
      </c>
      <c r="BH46" t="s">
        <v>281</v>
      </c>
      <c r="BI46">
        <v>2</v>
      </c>
      <c r="BJ46" t="s">
        <v>315</v>
      </c>
      <c r="BK46" t="s">
        <v>459</v>
      </c>
      <c r="BL46" t="s">
        <v>446</v>
      </c>
      <c r="BM46" t="s">
        <v>444</v>
      </c>
      <c r="BN46" t="str">
        <f t="shared" si="3"/>
        <v>WHITE.NOISE_MUSIC</v>
      </c>
      <c r="BO46" t="s">
        <v>268</v>
      </c>
      <c r="BQ46">
        <v>6</v>
      </c>
      <c r="BR46">
        <v>6</v>
      </c>
      <c r="BS46" s="35">
        <v>280.80229229999998</v>
      </c>
      <c r="BT46" s="35">
        <v>17.191977080000001</v>
      </c>
      <c r="BU46" s="35">
        <v>42.111571509999997</v>
      </c>
      <c r="BV46" s="35"/>
      <c r="BW46" s="35">
        <v>50.429799430000003</v>
      </c>
      <c r="BX46" s="35">
        <v>3.438395415</v>
      </c>
      <c r="BY46" s="35">
        <v>8.4223143020000002</v>
      </c>
      <c r="CB46" t="s">
        <v>268</v>
      </c>
      <c r="CD46" t="s">
        <v>268</v>
      </c>
      <c r="CE46" t="s">
        <v>267</v>
      </c>
      <c r="CF46" t="s">
        <v>309</v>
      </c>
      <c r="CG46" t="s">
        <v>268</v>
      </c>
      <c r="CI46" t="s">
        <v>268</v>
      </c>
      <c r="CK46" s="30">
        <f t="shared" si="1"/>
        <v>2</v>
      </c>
      <c r="CL46">
        <f t="shared" si="2"/>
        <v>8</v>
      </c>
    </row>
    <row r="47" spans="1:90" hidden="1" x14ac:dyDescent="0.35">
      <c r="A47" t="s">
        <v>597</v>
      </c>
      <c r="B47" t="s">
        <v>435</v>
      </c>
      <c r="C47" t="s">
        <v>436</v>
      </c>
      <c r="D47" t="s">
        <v>437</v>
      </c>
      <c r="E47" t="s">
        <v>438</v>
      </c>
      <c r="F47">
        <v>2014</v>
      </c>
      <c r="G47" t="s">
        <v>453</v>
      </c>
      <c r="I47" t="s">
        <v>333</v>
      </c>
      <c r="K47" t="s">
        <v>178</v>
      </c>
      <c r="L47" t="s">
        <v>177</v>
      </c>
      <c r="M47" t="s">
        <v>1125</v>
      </c>
      <c r="N47" t="s">
        <v>193</v>
      </c>
      <c r="O47" t="s">
        <v>187</v>
      </c>
      <c r="P47" t="s">
        <v>456</v>
      </c>
      <c r="Q47" t="s">
        <v>187</v>
      </c>
      <c r="S47" t="s">
        <v>204</v>
      </c>
      <c r="U47" t="s">
        <v>1117</v>
      </c>
      <c r="V47" t="s">
        <v>267</v>
      </c>
      <c r="W47" t="s">
        <v>455</v>
      </c>
      <c r="X47" t="s">
        <v>269</v>
      </c>
      <c r="AE47" t="s">
        <v>274</v>
      </c>
      <c r="AG47" t="s">
        <v>275</v>
      </c>
      <c r="AI47" t="s">
        <v>345</v>
      </c>
      <c r="AK47">
        <v>0.5</v>
      </c>
      <c r="AM47">
        <v>1</v>
      </c>
      <c r="AN47" t="s">
        <v>440</v>
      </c>
      <c r="AO47" t="s">
        <v>1104</v>
      </c>
      <c r="AP47" t="s">
        <v>281</v>
      </c>
      <c r="AQ47" t="s">
        <v>283</v>
      </c>
      <c r="AR47" t="s">
        <v>441</v>
      </c>
      <c r="AS47" t="s">
        <v>1094</v>
      </c>
      <c r="AT47">
        <v>65</v>
      </c>
      <c r="AU47" t="s">
        <v>433</v>
      </c>
      <c r="AV47" s="30">
        <v>2</v>
      </c>
      <c r="AW47" t="s">
        <v>287</v>
      </c>
      <c r="AX47">
        <v>55</v>
      </c>
      <c r="AZ47" t="s">
        <v>829</v>
      </c>
      <c r="BA47">
        <v>2</v>
      </c>
      <c r="BB47" t="s">
        <v>289</v>
      </c>
      <c r="BC47" t="s">
        <v>247</v>
      </c>
      <c r="BE47" t="s">
        <v>451</v>
      </c>
      <c r="BF47" t="s">
        <v>291</v>
      </c>
      <c r="BG47" t="s">
        <v>297</v>
      </c>
      <c r="BH47" t="s">
        <v>281</v>
      </c>
      <c r="BI47">
        <v>2</v>
      </c>
      <c r="BJ47" t="s">
        <v>315</v>
      </c>
      <c r="BK47" t="s">
        <v>460</v>
      </c>
      <c r="BL47" t="s">
        <v>443</v>
      </c>
      <c r="BM47" t="s">
        <v>444</v>
      </c>
      <c r="BN47" t="str">
        <f t="shared" si="3"/>
        <v>SILENCE_MUSIC</v>
      </c>
      <c r="BO47" t="s">
        <v>267</v>
      </c>
      <c r="BQ47">
        <v>6</v>
      </c>
      <c r="BR47">
        <v>6</v>
      </c>
      <c r="BS47" s="35">
        <v>21.38381201</v>
      </c>
      <c r="BT47" s="35">
        <v>2.9242819839999998</v>
      </c>
      <c r="BU47" s="35">
        <v>7.1629987259999996</v>
      </c>
      <c r="BV47" s="35"/>
      <c r="BW47" s="35">
        <v>54.647519580000001</v>
      </c>
      <c r="BX47" s="35">
        <v>9.5039164490000001</v>
      </c>
      <c r="BY47" s="35">
        <v>23.279745859999998</v>
      </c>
      <c r="CB47" t="s">
        <v>268</v>
      </c>
      <c r="CD47" t="s">
        <v>268</v>
      </c>
      <c r="CE47" t="s">
        <v>267</v>
      </c>
      <c r="CF47" t="s">
        <v>309</v>
      </c>
      <c r="CG47" t="s">
        <v>268</v>
      </c>
      <c r="CI47" t="s">
        <v>268</v>
      </c>
      <c r="CK47" s="30">
        <f t="shared" si="1"/>
        <v>2</v>
      </c>
      <c r="CL47">
        <f t="shared" si="2"/>
        <v>8</v>
      </c>
    </row>
    <row r="48" spans="1:90" hidden="1" x14ac:dyDescent="0.35">
      <c r="A48" t="s">
        <v>598</v>
      </c>
      <c r="B48" t="s">
        <v>435</v>
      </c>
      <c r="C48" t="s">
        <v>436</v>
      </c>
      <c r="D48" t="s">
        <v>437</v>
      </c>
      <c r="E48" t="s">
        <v>438</v>
      </c>
      <c r="F48">
        <v>2014</v>
      </c>
      <c r="G48" t="s">
        <v>454</v>
      </c>
      <c r="I48" t="s">
        <v>333</v>
      </c>
      <c r="K48" t="s">
        <v>178</v>
      </c>
      <c r="L48" t="s">
        <v>177</v>
      </c>
      <c r="M48" t="s">
        <v>1125</v>
      </c>
      <c r="N48" t="s">
        <v>193</v>
      </c>
      <c r="O48" t="s">
        <v>187</v>
      </c>
      <c r="P48" t="s">
        <v>456</v>
      </c>
      <c r="Q48" t="s">
        <v>187</v>
      </c>
      <c r="S48" t="s">
        <v>204</v>
      </c>
      <c r="U48" t="s">
        <v>1117</v>
      </c>
      <c r="V48" t="s">
        <v>267</v>
      </c>
      <c r="W48" t="s">
        <v>455</v>
      </c>
      <c r="X48" t="s">
        <v>269</v>
      </c>
      <c r="AE48" t="s">
        <v>274</v>
      </c>
      <c r="AG48" t="s">
        <v>275</v>
      </c>
      <c r="AI48" t="s">
        <v>345</v>
      </c>
      <c r="AK48">
        <v>0.5</v>
      </c>
      <c r="AM48">
        <v>1</v>
      </c>
      <c r="AN48" t="s">
        <v>440</v>
      </c>
      <c r="AO48" t="s">
        <v>1104</v>
      </c>
      <c r="AP48" t="s">
        <v>281</v>
      </c>
      <c r="AQ48" t="s">
        <v>283</v>
      </c>
      <c r="AR48" t="s">
        <v>441</v>
      </c>
      <c r="AS48" t="s">
        <v>1094</v>
      </c>
      <c r="AT48">
        <v>65</v>
      </c>
      <c r="AU48" t="s">
        <v>433</v>
      </c>
      <c r="AV48" s="30">
        <v>2</v>
      </c>
      <c r="AW48" t="s">
        <v>288</v>
      </c>
      <c r="AX48">
        <v>65</v>
      </c>
      <c r="AZ48" t="s">
        <v>433</v>
      </c>
      <c r="BA48">
        <v>2</v>
      </c>
      <c r="BB48" t="s">
        <v>289</v>
      </c>
      <c r="BC48" t="s">
        <v>247</v>
      </c>
      <c r="BE48" t="s">
        <v>451</v>
      </c>
      <c r="BF48" t="s">
        <v>291</v>
      </c>
      <c r="BG48" t="s">
        <v>297</v>
      </c>
      <c r="BH48" t="s">
        <v>281</v>
      </c>
      <c r="BI48">
        <v>2</v>
      </c>
      <c r="BJ48" t="s">
        <v>315</v>
      </c>
      <c r="BK48" t="s">
        <v>460</v>
      </c>
      <c r="BL48" t="s">
        <v>446</v>
      </c>
      <c r="BM48" t="s">
        <v>444</v>
      </c>
      <c r="BN48" t="str">
        <f t="shared" si="3"/>
        <v>WHITE.NOISE_MUSIC</v>
      </c>
      <c r="BO48" t="s">
        <v>267</v>
      </c>
      <c r="BQ48">
        <v>6</v>
      </c>
      <c r="BR48">
        <v>6</v>
      </c>
      <c r="BS48" s="35">
        <v>4.5691906009999999</v>
      </c>
      <c r="BT48" s="35">
        <v>0.91383811999999998</v>
      </c>
      <c r="BU48" s="35">
        <v>2.2384371019999998</v>
      </c>
      <c r="BV48" s="35"/>
      <c r="BW48" s="35">
        <v>54.647519580000001</v>
      </c>
      <c r="BX48" s="35">
        <v>9.5039164490000001</v>
      </c>
      <c r="BY48" s="35">
        <v>23.279745859999998</v>
      </c>
      <c r="CB48" t="s">
        <v>268</v>
      </c>
      <c r="CD48" t="s">
        <v>268</v>
      </c>
      <c r="CE48" t="s">
        <v>267</v>
      </c>
      <c r="CF48" t="s">
        <v>309</v>
      </c>
      <c r="CG48" t="s">
        <v>268</v>
      </c>
      <c r="CI48" t="s">
        <v>268</v>
      </c>
      <c r="CK48" s="30">
        <f t="shared" si="1"/>
        <v>2</v>
      </c>
      <c r="CL48">
        <f t="shared" si="2"/>
        <v>8</v>
      </c>
    </row>
    <row r="49" spans="1:90" hidden="1" x14ac:dyDescent="0.35">
      <c r="A49" t="s">
        <v>599</v>
      </c>
      <c r="B49" t="s">
        <v>435</v>
      </c>
      <c r="C49" t="s">
        <v>436</v>
      </c>
      <c r="D49" t="s">
        <v>437</v>
      </c>
      <c r="E49" t="s">
        <v>438</v>
      </c>
      <c r="F49">
        <v>2014</v>
      </c>
      <c r="G49" t="s">
        <v>461</v>
      </c>
      <c r="I49" t="s">
        <v>176</v>
      </c>
      <c r="K49" t="s">
        <v>178</v>
      </c>
      <c r="L49" t="s">
        <v>177</v>
      </c>
      <c r="M49" t="s">
        <v>1125</v>
      </c>
      <c r="N49" t="s">
        <v>193</v>
      </c>
      <c r="O49" t="s">
        <v>187</v>
      </c>
      <c r="P49" t="s">
        <v>439</v>
      </c>
      <c r="Q49" t="s">
        <v>187</v>
      </c>
      <c r="S49" t="s">
        <v>204</v>
      </c>
      <c r="U49" t="s">
        <v>1117</v>
      </c>
      <c r="V49" t="s">
        <v>267</v>
      </c>
      <c r="W49" t="s">
        <v>463</v>
      </c>
      <c r="X49" t="s">
        <v>269</v>
      </c>
      <c r="AE49" t="s">
        <v>274</v>
      </c>
      <c r="AG49" t="s">
        <v>275</v>
      </c>
      <c r="AI49" t="s">
        <v>345</v>
      </c>
      <c r="AK49">
        <v>0.5</v>
      </c>
      <c r="AM49">
        <v>1</v>
      </c>
      <c r="AN49" t="s">
        <v>440</v>
      </c>
      <c r="AO49" t="s">
        <v>1104</v>
      </c>
      <c r="AP49" t="s">
        <v>281</v>
      </c>
      <c r="AQ49" t="s">
        <v>283</v>
      </c>
      <c r="AR49" t="s">
        <v>441</v>
      </c>
      <c r="AS49" t="s">
        <v>1094</v>
      </c>
      <c r="AT49">
        <v>65</v>
      </c>
      <c r="AU49" t="s">
        <v>433</v>
      </c>
      <c r="AV49" s="30">
        <v>2</v>
      </c>
      <c r="AW49" t="s">
        <v>287</v>
      </c>
      <c r="AX49">
        <v>55</v>
      </c>
      <c r="AZ49" t="s">
        <v>829</v>
      </c>
      <c r="BA49">
        <v>2</v>
      </c>
      <c r="BB49" t="s">
        <v>289</v>
      </c>
      <c r="BC49" t="s">
        <v>239</v>
      </c>
      <c r="BE49" t="s">
        <v>336</v>
      </c>
      <c r="BF49" t="s">
        <v>291</v>
      </c>
      <c r="BG49" t="s">
        <v>297</v>
      </c>
      <c r="BH49" t="s">
        <v>281</v>
      </c>
      <c r="BI49">
        <v>2</v>
      </c>
      <c r="BJ49" t="s">
        <v>354</v>
      </c>
      <c r="BK49" t="s">
        <v>464</v>
      </c>
      <c r="BL49" t="s">
        <v>443</v>
      </c>
      <c r="BM49" t="s">
        <v>444</v>
      </c>
      <c r="BN49" t="str">
        <f t="shared" si="3"/>
        <v>SILENCE_MUSIC</v>
      </c>
      <c r="BO49" t="s">
        <v>267</v>
      </c>
      <c r="BQ49">
        <v>6</v>
      </c>
      <c r="BR49">
        <v>6</v>
      </c>
      <c r="BS49" s="35">
        <v>55.334987589999997</v>
      </c>
      <c r="BT49" s="35">
        <v>3.9702233250000001</v>
      </c>
      <c r="BU49" s="35">
        <v>9.7250213110000008</v>
      </c>
      <c r="BV49" s="35"/>
      <c r="BW49" s="35">
        <v>82.382133999999994</v>
      </c>
      <c r="BX49" s="35">
        <v>5.9553349879999997</v>
      </c>
      <c r="BY49" s="35">
        <v>14.587531970000001</v>
      </c>
      <c r="CB49" t="s">
        <v>268</v>
      </c>
      <c r="CD49" t="s">
        <v>268</v>
      </c>
      <c r="CE49" t="s">
        <v>267</v>
      </c>
      <c r="CF49" t="s">
        <v>309</v>
      </c>
      <c r="CG49" t="s">
        <v>268</v>
      </c>
      <c r="CI49" t="s">
        <v>268</v>
      </c>
      <c r="CK49" s="30">
        <f t="shared" si="1"/>
        <v>2</v>
      </c>
      <c r="CL49">
        <f t="shared" si="2"/>
        <v>8</v>
      </c>
    </row>
    <row r="50" spans="1:90" hidden="1" x14ac:dyDescent="0.35">
      <c r="A50" t="s">
        <v>600</v>
      </c>
      <c r="B50" t="s">
        <v>435</v>
      </c>
      <c r="C50" t="s">
        <v>436</v>
      </c>
      <c r="D50" t="s">
        <v>437</v>
      </c>
      <c r="E50" t="s">
        <v>438</v>
      </c>
      <c r="F50">
        <v>2014</v>
      </c>
      <c r="G50" t="s">
        <v>462</v>
      </c>
      <c r="I50" t="s">
        <v>176</v>
      </c>
      <c r="K50" t="s">
        <v>178</v>
      </c>
      <c r="L50" t="s">
        <v>177</v>
      </c>
      <c r="M50" t="s">
        <v>1125</v>
      </c>
      <c r="N50" t="s">
        <v>193</v>
      </c>
      <c r="O50" t="s">
        <v>187</v>
      </c>
      <c r="P50" t="s">
        <v>439</v>
      </c>
      <c r="Q50" t="s">
        <v>187</v>
      </c>
      <c r="S50" t="s">
        <v>204</v>
      </c>
      <c r="U50" t="s">
        <v>1117</v>
      </c>
      <c r="V50" t="s">
        <v>267</v>
      </c>
      <c r="W50" t="s">
        <v>463</v>
      </c>
      <c r="X50" t="s">
        <v>269</v>
      </c>
      <c r="AE50" t="s">
        <v>274</v>
      </c>
      <c r="AG50" t="s">
        <v>275</v>
      </c>
      <c r="AI50" t="s">
        <v>345</v>
      </c>
      <c r="AK50">
        <v>0.5</v>
      </c>
      <c r="AM50">
        <v>1</v>
      </c>
      <c r="AN50" t="s">
        <v>440</v>
      </c>
      <c r="AO50" t="s">
        <v>1104</v>
      </c>
      <c r="AP50" t="s">
        <v>281</v>
      </c>
      <c r="AQ50" t="s">
        <v>283</v>
      </c>
      <c r="AR50" t="s">
        <v>441</v>
      </c>
      <c r="AS50" t="s">
        <v>1094</v>
      </c>
      <c r="AT50">
        <v>65</v>
      </c>
      <c r="AU50" t="s">
        <v>433</v>
      </c>
      <c r="AV50" s="30">
        <v>2</v>
      </c>
      <c r="AW50" t="s">
        <v>288</v>
      </c>
      <c r="AX50">
        <v>65</v>
      </c>
      <c r="AZ50" t="s">
        <v>433</v>
      </c>
      <c r="BA50">
        <v>2</v>
      </c>
      <c r="BB50" t="s">
        <v>289</v>
      </c>
      <c r="BC50" t="s">
        <v>239</v>
      </c>
      <c r="BE50" t="s">
        <v>336</v>
      </c>
      <c r="BF50" t="s">
        <v>291</v>
      </c>
      <c r="BG50" t="s">
        <v>297</v>
      </c>
      <c r="BH50" t="s">
        <v>281</v>
      </c>
      <c r="BI50">
        <v>2</v>
      </c>
      <c r="BJ50" t="s">
        <v>354</v>
      </c>
      <c r="BK50" t="s">
        <v>464</v>
      </c>
      <c r="BL50" t="s">
        <v>446</v>
      </c>
      <c r="BM50" t="s">
        <v>444</v>
      </c>
      <c r="BN50" t="str">
        <f t="shared" si="3"/>
        <v>WHITE.NOISE_MUSIC</v>
      </c>
      <c r="BO50" t="s">
        <v>267</v>
      </c>
      <c r="BQ50">
        <v>6</v>
      </c>
      <c r="BR50">
        <v>6</v>
      </c>
      <c r="BS50" s="35">
        <v>12.158808929999999</v>
      </c>
      <c r="BT50" s="35">
        <v>3.225806452</v>
      </c>
      <c r="BU50" s="35">
        <v>7.9015798149999998</v>
      </c>
      <c r="BV50" s="35"/>
      <c r="BW50" s="35">
        <v>82.382133999999994</v>
      </c>
      <c r="BX50" s="35">
        <v>5.9553349879999997</v>
      </c>
      <c r="BY50" s="35">
        <v>14.587531970000001</v>
      </c>
      <c r="CB50" t="s">
        <v>268</v>
      </c>
      <c r="CD50" t="s">
        <v>268</v>
      </c>
      <c r="CE50" t="s">
        <v>267</v>
      </c>
      <c r="CF50" t="s">
        <v>309</v>
      </c>
      <c r="CG50" t="s">
        <v>268</v>
      </c>
      <c r="CI50" t="s">
        <v>268</v>
      </c>
      <c r="CK50" s="30">
        <f t="shared" si="1"/>
        <v>2</v>
      </c>
      <c r="CL50">
        <f t="shared" si="2"/>
        <v>8</v>
      </c>
    </row>
    <row r="51" spans="1:90" hidden="1" x14ac:dyDescent="0.35">
      <c r="A51" t="s">
        <v>601</v>
      </c>
      <c r="B51" t="s">
        <v>435</v>
      </c>
      <c r="C51" t="s">
        <v>436</v>
      </c>
      <c r="D51" t="s">
        <v>437</v>
      </c>
      <c r="E51" t="s">
        <v>438</v>
      </c>
      <c r="F51">
        <v>2014</v>
      </c>
      <c r="G51" t="s">
        <v>461</v>
      </c>
      <c r="I51" t="s">
        <v>331</v>
      </c>
      <c r="K51" t="s">
        <v>178</v>
      </c>
      <c r="L51" t="s">
        <v>177</v>
      </c>
      <c r="M51" t="s">
        <v>1125</v>
      </c>
      <c r="N51" t="s">
        <v>193</v>
      </c>
      <c r="O51" t="s">
        <v>187</v>
      </c>
      <c r="P51" t="s">
        <v>439</v>
      </c>
      <c r="Q51" t="s">
        <v>187</v>
      </c>
      <c r="S51" t="s">
        <v>204</v>
      </c>
      <c r="U51" t="s">
        <v>1117</v>
      </c>
      <c r="V51" t="s">
        <v>267</v>
      </c>
      <c r="W51" t="s">
        <v>463</v>
      </c>
      <c r="X51" t="s">
        <v>269</v>
      </c>
      <c r="AE51" t="s">
        <v>274</v>
      </c>
      <c r="AG51" t="s">
        <v>275</v>
      </c>
      <c r="AI51" t="s">
        <v>345</v>
      </c>
      <c r="AK51">
        <v>0.5</v>
      </c>
      <c r="AM51">
        <v>1</v>
      </c>
      <c r="AN51" t="s">
        <v>440</v>
      </c>
      <c r="AO51" t="s">
        <v>1104</v>
      </c>
      <c r="AP51" t="s">
        <v>281</v>
      </c>
      <c r="AQ51" t="s">
        <v>283</v>
      </c>
      <c r="AR51" t="s">
        <v>441</v>
      </c>
      <c r="AS51" t="s">
        <v>1094</v>
      </c>
      <c r="AT51">
        <v>65</v>
      </c>
      <c r="AU51" t="s">
        <v>433</v>
      </c>
      <c r="AV51" s="30">
        <v>2</v>
      </c>
      <c r="AW51" t="s">
        <v>287</v>
      </c>
      <c r="AX51">
        <v>55</v>
      </c>
      <c r="AZ51" t="s">
        <v>829</v>
      </c>
      <c r="BA51">
        <v>2</v>
      </c>
      <c r="BB51" t="s">
        <v>289</v>
      </c>
      <c r="BC51" t="s">
        <v>239</v>
      </c>
      <c r="BE51" t="s">
        <v>314</v>
      </c>
      <c r="BF51" t="s">
        <v>294</v>
      </c>
      <c r="BG51" t="s">
        <v>300</v>
      </c>
      <c r="BH51" t="s">
        <v>281</v>
      </c>
      <c r="BI51">
        <v>2</v>
      </c>
      <c r="BJ51" t="s">
        <v>354</v>
      </c>
      <c r="BK51" t="s">
        <v>465</v>
      </c>
      <c r="BL51" t="s">
        <v>443</v>
      </c>
      <c r="BM51" t="s">
        <v>444</v>
      </c>
      <c r="BN51" t="str">
        <f t="shared" si="3"/>
        <v>SILENCE_MUSIC</v>
      </c>
      <c r="BO51" t="s">
        <v>267</v>
      </c>
      <c r="BQ51">
        <v>6</v>
      </c>
      <c r="BR51">
        <v>6</v>
      </c>
      <c r="BS51" s="35">
        <v>6.0266666669999998</v>
      </c>
      <c r="BT51" s="35">
        <v>0.426666667</v>
      </c>
      <c r="BU51" s="35">
        <v>1.0451156239999999</v>
      </c>
      <c r="BV51" s="35"/>
      <c r="BW51" s="35">
        <v>16.053333330000001</v>
      </c>
      <c r="BX51" s="35">
        <v>0.426666667</v>
      </c>
      <c r="BY51" s="35">
        <v>1.0451156239999999</v>
      </c>
      <c r="CB51" t="s">
        <v>268</v>
      </c>
      <c r="CD51" t="s">
        <v>268</v>
      </c>
      <c r="CE51" t="s">
        <v>267</v>
      </c>
      <c r="CF51" t="s">
        <v>309</v>
      </c>
      <c r="CG51" t="s">
        <v>268</v>
      </c>
      <c r="CI51" t="s">
        <v>268</v>
      </c>
      <c r="CK51" s="30">
        <f t="shared" si="1"/>
        <v>2</v>
      </c>
      <c r="CL51">
        <f t="shared" si="2"/>
        <v>8</v>
      </c>
    </row>
    <row r="52" spans="1:90" hidden="1" x14ac:dyDescent="0.35">
      <c r="A52" t="s">
        <v>602</v>
      </c>
      <c r="B52" t="s">
        <v>435</v>
      </c>
      <c r="C52" t="s">
        <v>436</v>
      </c>
      <c r="D52" t="s">
        <v>437</v>
      </c>
      <c r="E52" t="s">
        <v>438</v>
      </c>
      <c r="F52">
        <v>2014</v>
      </c>
      <c r="G52" t="s">
        <v>462</v>
      </c>
      <c r="I52" t="s">
        <v>331</v>
      </c>
      <c r="K52" t="s">
        <v>178</v>
      </c>
      <c r="L52" t="s">
        <v>177</v>
      </c>
      <c r="M52" t="s">
        <v>1125</v>
      </c>
      <c r="N52" t="s">
        <v>193</v>
      </c>
      <c r="O52" t="s">
        <v>187</v>
      </c>
      <c r="P52" t="s">
        <v>439</v>
      </c>
      <c r="Q52" t="s">
        <v>187</v>
      </c>
      <c r="S52" t="s">
        <v>204</v>
      </c>
      <c r="U52" t="s">
        <v>1117</v>
      </c>
      <c r="V52" t="s">
        <v>267</v>
      </c>
      <c r="W52" t="s">
        <v>463</v>
      </c>
      <c r="X52" t="s">
        <v>269</v>
      </c>
      <c r="AE52" t="s">
        <v>274</v>
      </c>
      <c r="AG52" t="s">
        <v>275</v>
      </c>
      <c r="AI52" t="s">
        <v>345</v>
      </c>
      <c r="AK52">
        <v>0.5</v>
      </c>
      <c r="AM52">
        <v>1</v>
      </c>
      <c r="AN52" t="s">
        <v>440</v>
      </c>
      <c r="AO52" t="s">
        <v>1104</v>
      </c>
      <c r="AP52" t="s">
        <v>281</v>
      </c>
      <c r="AQ52" t="s">
        <v>283</v>
      </c>
      <c r="AR52" t="s">
        <v>441</v>
      </c>
      <c r="AS52" t="s">
        <v>1094</v>
      </c>
      <c r="AT52">
        <v>65</v>
      </c>
      <c r="AU52" t="s">
        <v>433</v>
      </c>
      <c r="AV52" s="30">
        <v>2</v>
      </c>
      <c r="AW52" t="s">
        <v>288</v>
      </c>
      <c r="AX52">
        <v>65</v>
      </c>
      <c r="AZ52" t="s">
        <v>433</v>
      </c>
      <c r="BA52">
        <v>2</v>
      </c>
      <c r="BB52" t="s">
        <v>289</v>
      </c>
      <c r="BC52" t="s">
        <v>239</v>
      </c>
      <c r="BE52" t="s">
        <v>314</v>
      </c>
      <c r="BF52" t="s">
        <v>294</v>
      </c>
      <c r="BG52" t="s">
        <v>300</v>
      </c>
      <c r="BH52" t="s">
        <v>281</v>
      </c>
      <c r="BI52">
        <v>2</v>
      </c>
      <c r="BJ52" t="s">
        <v>354</v>
      </c>
      <c r="BK52" t="s">
        <v>465</v>
      </c>
      <c r="BL52" t="s">
        <v>446</v>
      </c>
      <c r="BM52" t="s">
        <v>444</v>
      </c>
      <c r="BN52" t="str">
        <f t="shared" si="3"/>
        <v>WHITE.NOISE_MUSIC</v>
      </c>
      <c r="BO52" t="s">
        <v>267</v>
      </c>
      <c r="BQ52">
        <v>6</v>
      </c>
      <c r="BR52">
        <v>6</v>
      </c>
      <c r="BS52" s="35">
        <v>4.0533333330000003</v>
      </c>
      <c r="BT52" s="35">
        <v>1.2266666669999999</v>
      </c>
      <c r="BU52" s="35">
        <v>3.0047074180000002</v>
      </c>
      <c r="BV52" s="35"/>
      <c r="BW52" s="35">
        <v>16.053333330000001</v>
      </c>
      <c r="BX52" s="35">
        <v>0.426666667</v>
      </c>
      <c r="BY52" s="35">
        <v>1.0451156239999999</v>
      </c>
      <c r="CB52" t="s">
        <v>268</v>
      </c>
      <c r="CD52" t="s">
        <v>268</v>
      </c>
      <c r="CE52" t="s">
        <v>267</v>
      </c>
      <c r="CF52" t="s">
        <v>309</v>
      </c>
      <c r="CG52" t="s">
        <v>268</v>
      </c>
      <c r="CI52" t="s">
        <v>268</v>
      </c>
      <c r="CK52" s="30">
        <f t="shared" si="1"/>
        <v>2</v>
      </c>
      <c r="CL52">
        <f t="shared" si="2"/>
        <v>8</v>
      </c>
    </row>
    <row r="53" spans="1:90" hidden="1" x14ac:dyDescent="0.35">
      <c r="A53" t="s">
        <v>603</v>
      </c>
      <c r="B53" t="s">
        <v>435</v>
      </c>
      <c r="C53" t="s">
        <v>436</v>
      </c>
      <c r="D53" t="s">
        <v>437</v>
      </c>
      <c r="E53" t="s">
        <v>438</v>
      </c>
      <c r="F53">
        <v>2014</v>
      </c>
      <c r="G53" t="s">
        <v>461</v>
      </c>
      <c r="I53" t="s">
        <v>332</v>
      </c>
      <c r="K53" t="s">
        <v>178</v>
      </c>
      <c r="L53" t="s">
        <v>177</v>
      </c>
      <c r="M53" t="s">
        <v>1125</v>
      </c>
      <c r="N53" t="s">
        <v>193</v>
      </c>
      <c r="O53" t="s">
        <v>187</v>
      </c>
      <c r="P53" t="s">
        <v>439</v>
      </c>
      <c r="Q53" t="s">
        <v>187</v>
      </c>
      <c r="S53" t="s">
        <v>204</v>
      </c>
      <c r="U53" t="s">
        <v>1117</v>
      </c>
      <c r="V53" t="s">
        <v>267</v>
      </c>
      <c r="W53" t="s">
        <v>463</v>
      </c>
      <c r="X53" t="s">
        <v>269</v>
      </c>
      <c r="AE53" t="s">
        <v>274</v>
      </c>
      <c r="AG53" t="s">
        <v>275</v>
      </c>
      <c r="AI53" t="s">
        <v>345</v>
      </c>
      <c r="AK53">
        <v>0.5</v>
      </c>
      <c r="AM53">
        <v>1</v>
      </c>
      <c r="AN53" t="s">
        <v>440</v>
      </c>
      <c r="AO53" t="s">
        <v>1104</v>
      </c>
      <c r="AP53" t="s">
        <v>281</v>
      </c>
      <c r="AQ53" t="s">
        <v>283</v>
      </c>
      <c r="AR53" t="s">
        <v>441</v>
      </c>
      <c r="AS53" t="s">
        <v>1094</v>
      </c>
      <c r="AT53">
        <v>65</v>
      </c>
      <c r="AU53" t="s">
        <v>433</v>
      </c>
      <c r="AV53" s="30">
        <v>2</v>
      </c>
      <c r="AW53" t="s">
        <v>287</v>
      </c>
      <c r="AX53">
        <v>55</v>
      </c>
      <c r="AZ53" t="s">
        <v>829</v>
      </c>
      <c r="BA53">
        <v>2</v>
      </c>
      <c r="BB53" t="s">
        <v>289</v>
      </c>
      <c r="BC53" t="s">
        <v>247</v>
      </c>
      <c r="BE53" t="s">
        <v>450</v>
      </c>
      <c r="BF53" t="s">
        <v>291</v>
      </c>
      <c r="BG53" t="s">
        <v>297</v>
      </c>
      <c r="BH53" t="s">
        <v>281</v>
      </c>
      <c r="BI53">
        <v>2</v>
      </c>
      <c r="BJ53" t="s">
        <v>354</v>
      </c>
      <c r="BK53" t="s">
        <v>466</v>
      </c>
      <c r="BL53" t="s">
        <v>443</v>
      </c>
      <c r="BM53" t="s">
        <v>444</v>
      </c>
      <c r="BN53" t="str">
        <f t="shared" si="3"/>
        <v>SILENCE_MUSIC</v>
      </c>
      <c r="BO53" t="s">
        <v>268</v>
      </c>
      <c r="BQ53">
        <v>6</v>
      </c>
      <c r="BR53">
        <v>6</v>
      </c>
      <c r="BS53" s="35">
        <v>22.040302270000002</v>
      </c>
      <c r="BT53" s="35">
        <v>1.763224181</v>
      </c>
      <c r="BU53" s="35">
        <v>4.3189995459999997</v>
      </c>
      <c r="BV53" s="35"/>
      <c r="BW53" s="35">
        <v>56.070528969999998</v>
      </c>
      <c r="BX53" s="35">
        <v>2.1158690180000002</v>
      </c>
      <c r="BY53" s="35">
        <v>5.1827994559999997</v>
      </c>
      <c r="CB53" t="s">
        <v>268</v>
      </c>
      <c r="CD53" t="s">
        <v>268</v>
      </c>
      <c r="CE53" t="s">
        <v>267</v>
      </c>
      <c r="CF53" t="s">
        <v>309</v>
      </c>
      <c r="CG53" t="s">
        <v>268</v>
      </c>
      <c r="CI53" t="s">
        <v>268</v>
      </c>
      <c r="CK53" s="30">
        <f t="shared" si="1"/>
        <v>2</v>
      </c>
      <c r="CL53">
        <f t="shared" si="2"/>
        <v>8</v>
      </c>
    </row>
    <row r="54" spans="1:90" hidden="1" x14ac:dyDescent="0.35">
      <c r="A54" t="s">
        <v>604</v>
      </c>
      <c r="B54" t="s">
        <v>435</v>
      </c>
      <c r="C54" t="s">
        <v>436</v>
      </c>
      <c r="D54" t="s">
        <v>437</v>
      </c>
      <c r="E54" t="s">
        <v>438</v>
      </c>
      <c r="F54">
        <v>2014</v>
      </c>
      <c r="G54" t="s">
        <v>462</v>
      </c>
      <c r="I54" t="s">
        <v>332</v>
      </c>
      <c r="K54" t="s">
        <v>178</v>
      </c>
      <c r="L54" t="s">
        <v>177</v>
      </c>
      <c r="M54" t="s">
        <v>1125</v>
      </c>
      <c r="N54" t="s">
        <v>193</v>
      </c>
      <c r="O54" t="s">
        <v>187</v>
      </c>
      <c r="P54" t="s">
        <v>439</v>
      </c>
      <c r="Q54" t="s">
        <v>187</v>
      </c>
      <c r="S54" t="s">
        <v>204</v>
      </c>
      <c r="U54" t="s">
        <v>1117</v>
      </c>
      <c r="V54" t="s">
        <v>267</v>
      </c>
      <c r="W54" t="s">
        <v>463</v>
      </c>
      <c r="X54" t="s">
        <v>269</v>
      </c>
      <c r="AE54" t="s">
        <v>274</v>
      </c>
      <c r="AG54" t="s">
        <v>275</v>
      </c>
      <c r="AI54" t="s">
        <v>345</v>
      </c>
      <c r="AK54">
        <v>0.5</v>
      </c>
      <c r="AM54">
        <v>1</v>
      </c>
      <c r="AN54" t="s">
        <v>440</v>
      </c>
      <c r="AO54" t="s">
        <v>1104</v>
      </c>
      <c r="AP54" t="s">
        <v>281</v>
      </c>
      <c r="AQ54" t="s">
        <v>283</v>
      </c>
      <c r="AR54" t="s">
        <v>441</v>
      </c>
      <c r="AS54" t="s">
        <v>1094</v>
      </c>
      <c r="AT54">
        <v>65</v>
      </c>
      <c r="AU54" t="s">
        <v>433</v>
      </c>
      <c r="AV54" s="30">
        <v>2</v>
      </c>
      <c r="AW54" t="s">
        <v>288</v>
      </c>
      <c r="AX54">
        <v>65</v>
      </c>
      <c r="AZ54" t="s">
        <v>433</v>
      </c>
      <c r="BA54">
        <v>2</v>
      </c>
      <c r="BB54" t="s">
        <v>289</v>
      </c>
      <c r="BC54" t="s">
        <v>247</v>
      </c>
      <c r="BE54" t="s">
        <v>450</v>
      </c>
      <c r="BF54" t="s">
        <v>291</v>
      </c>
      <c r="BG54" t="s">
        <v>297</v>
      </c>
      <c r="BH54" t="s">
        <v>281</v>
      </c>
      <c r="BI54">
        <v>2</v>
      </c>
      <c r="BJ54" t="s">
        <v>354</v>
      </c>
      <c r="BK54" t="s">
        <v>466</v>
      </c>
      <c r="BL54" t="s">
        <v>446</v>
      </c>
      <c r="BM54" t="s">
        <v>444</v>
      </c>
      <c r="BN54" t="str">
        <f t="shared" si="3"/>
        <v>WHITE.NOISE_MUSIC</v>
      </c>
      <c r="BO54" t="s">
        <v>268</v>
      </c>
      <c r="BQ54">
        <v>6</v>
      </c>
      <c r="BR54">
        <v>6</v>
      </c>
      <c r="BS54" s="35">
        <v>12.34256927</v>
      </c>
      <c r="BT54" s="35">
        <v>3.1738035259999999</v>
      </c>
      <c r="BU54" s="35">
        <v>7.7741991840000004</v>
      </c>
      <c r="BV54" s="35"/>
      <c r="BW54" s="35">
        <v>56.070528969999998</v>
      </c>
      <c r="BX54" s="35">
        <v>2.1158690180000002</v>
      </c>
      <c r="BY54" s="35">
        <v>5.1827994559999997</v>
      </c>
      <c r="CB54" t="s">
        <v>268</v>
      </c>
      <c r="CD54" t="s">
        <v>268</v>
      </c>
      <c r="CE54" t="s">
        <v>267</v>
      </c>
      <c r="CF54" t="s">
        <v>309</v>
      </c>
      <c r="CG54" t="s">
        <v>268</v>
      </c>
      <c r="CI54" t="s">
        <v>268</v>
      </c>
      <c r="CK54" s="30">
        <f t="shared" si="1"/>
        <v>2</v>
      </c>
      <c r="CL54">
        <f t="shared" si="2"/>
        <v>8</v>
      </c>
    </row>
    <row r="55" spans="1:90" hidden="1" x14ac:dyDescent="0.35">
      <c r="A55" t="s">
        <v>605</v>
      </c>
      <c r="B55" t="s">
        <v>435</v>
      </c>
      <c r="C55" t="s">
        <v>436</v>
      </c>
      <c r="D55" t="s">
        <v>437</v>
      </c>
      <c r="E55" t="s">
        <v>438</v>
      </c>
      <c r="F55">
        <v>2014</v>
      </c>
      <c r="G55" t="s">
        <v>461</v>
      </c>
      <c r="I55" t="s">
        <v>333</v>
      </c>
      <c r="K55" t="s">
        <v>178</v>
      </c>
      <c r="L55" t="s">
        <v>177</v>
      </c>
      <c r="M55" t="s">
        <v>1125</v>
      </c>
      <c r="N55" t="s">
        <v>193</v>
      </c>
      <c r="O55" t="s">
        <v>187</v>
      </c>
      <c r="P55" t="s">
        <v>439</v>
      </c>
      <c r="Q55" t="s">
        <v>187</v>
      </c>
      <c r="S55" t="s">
        <v>204</v>
      </c>
      <c r="U55" t="s">
        <v>1117</v>
      </c>
      <c r="V55" t="s">
        <v>267</v>
      </c>
      <c r="W55" t="s">
        <v>463</v>
      </c>
      <c r="X55" t="s">
        <v>269</v>
      </c>
      <c r="AE55" t="s">
        <v>274</v>
      </c>
      <c r="AG55" t="s">
        <v>275</v>
      </c>
      <c r="AI55" t="s">
        <v>345</v>
      </c>
      <c r="AK55">
        <v>0.5</v>
      </c>
      <c r="AM55">
        <v>1</v>
      </c>
      <c r="AN55" t="s">
        <v>440</v>
      </c>
      <c r="AO55" t="s">
        <v>1104</v>
      </c>
      <c r="AP55" t="s">
        <v>281</v>
      </c>
      <c r="AQ55" t="s">
        <v>283</v>
      </c>
      <c r="AR55" t="s">
        <v>441</v>
      </c>
      <c r="AS55" t="s">
        <v>1094</v>
      </c>
      <c r="AT55">
        <v>65</v>
      </c>
      <c r="AU55" t="s">
        <v>433</v>
      </c>
      <c r="AV55" s="30">
        <v>2</v>
      </c>
      <c r="AW55" t="s">
        <v>287</v>
      </c>
      <c r="AX55">
        <v>55</v>
      </c>
      <c r="AZ55" t="s">
        <v>829</v>
      </c>
      <c r="BA55">
        <v>2</v>
      </c>
      <c r="BB55" t="s">
        <v>289</v>
      </c>
      <c r="BC55" t="s">
        <v>247</v>
      </c>
      <c r="BE55" t="s">
        <v>451</v>
      </c>
      <c r="BF55" t="s">
        <v>291</v>
      </c>
      <c r="BG55" t="s">
        <v>297</v>
      </c>
      <c r="BH55" t="s">
        <v>281</v>
      </c>
      <c r="BI55">
        <v>2</v>
      </c>
      <c r="BJ55" t="s">
        <v>354</v>
      </c>
      <c r="BK55" t="s">
        <v>467</v>
      </c>
      <c r="BL55" t="s">
        <v>443</v>
      </c>
      <c r="BM55" t="s">
        <v>444</v>
      </c>
      <c r="BN55" t="str">
        <f t="shared" si="3"/>
        <v>SILENCE_MUSIC</v>
      </c>
      <c r="BO55" t="s">
        <v>267</v>
      </c>
      <c r="BQ55">
        <v>6</v>
      </c>
      <c r="BR55">
        <v>6</v>
      </c>
      <c r="BS55" s="35">
        <v>22.131147540000001</v>
      </c>
      <c r="BT55" s="35">
        <v>1.8032786890000001</v>
      </c>
      <c r="BU55" s="35">
        <v>4.4171126510000001</v>
      </c>
      <c r="BV55" s="35"/>
      <c r="BW55" s="35">
        <v>56.06557377</v>
      </c>
      <c r="BX55" s="35">
        <v>2.1311475409999998</v>
      </c>
      <c r="BY55" s="35">
        <v>5.2202240419999999</v>
      </c>
      <c r="CB55" t="s">
        <v>268</v>
      </c>
      <c r="CD55" t="s">
        <v>268</v>
      </c>
      <c r="CE55" t="s">
        <v>267</v>
      </c>
      <c r="CF55" t="s">
        <v>309</v>
      </c>
      <c r="CG55" t="s">
        <v>268</v>
      </c>
      <c r="CI55" t="s">
        <v>268</v>
      </c>
      <c r="CK55" s="30">
        <f t="shared" si="1"/>
        <v>2</v>
      </c>
      <c r="CL55">
        <f t="shared" si="2"/>
        <v>8</v>
      </c>
    </row>
    <row r="56" spans="1:90" hidden="1" x14ac:dyDescent="0.35">
      <c r="A56" t="s">
        <v>606</v>
      </c>
      <c r="B56" t="s">
        <v>435</v>
      </c>
      <c r="C56" t="s">
        <v>436</v>
      </c>
      <c r="D56" t="s">
        <v>437</v>
      </c>
      <c r="E56" t="s">
        <v>438</v>
      </c>
      <c r="F56">
        <v>2014</v>
      </c>
      <c r="G56" t="s">
        <v>462</v>
      </c>
      <c r="I56" t="s">
        <v>333</v>
      </c>
      <c r="K56" t="s">
        <v>178</v>
      </c>
      <c r="L56" t="s">
        <v>177</v>
      </c>
      <c r="M56" t="s">
        <v>1125</v>
      </c>
      <c r="N56" t="s">
        <v>193</v>
      </c>
      <c r="O56" t="s">
        <v>187</v>
      </c>
      <c r="P56" t="s">
        <v>439</v>
      </c>
      <c r="Q56" t="s">
        <v>187</v>
      </c>
      <c r="S56" t="s">
        <v>204</v>
      </c>
      <c r="U56" t="s">
        <v>1117</v>
      </c>
      <c r="V56" t="s">
        <v>267</v>
      </c>
      <c r="W56" t="s">
        <v>463</v>
      </c>
      <c r="X56" t="s">
        <v>269</v>
      </c>
      <c r="AE56" t="s">
        <v>274</v>
      </c>
      <c r="AG56" t="s">
        <v>275</v>
      </c>
      <c r="AI56" t="s">
        <v>345</v>
      </c>
      <c r="AK56">
        <v>0.5</v>
      </c>
      <c r="AM56">
        <v>1</v>
      </c>
      <c r="AN56" t="s">
        <v>440</v>
      </c>
      <c r="AO56" t="s">
        <v>1104</v>
      </c>
      <c r="AP56" t="s">
        <v>281</v>
      </c>
      <c r="AQ56" t="s">
        <v>283</v>
      </c>
      <c r="AR56" t="s">
        <v>441</v>
      </c>
      <c r="AS56" t="s">
        <v>1094</v>
      </c>
      <c r="AT56">
        <v>65</v>
      </c>
      <c r="AU56" t="s">
        <v>433</v>
      </c>
      <c r="AV56" s="30">
        <v>2</v>
      </c>
      <c r="AW56" t="s">
        <v>288</v>
      </c>
      <c r="AX56">
        <v>65</v>
      </c>
      <c r="AZ56" t="s">
        <v>433</v>
      </c>
      <c r="BA56">
        <v>2</v>
      </c>
      <c r="BB56" t="s">
        <v>289</v>
      </c>
      <c r="BC56" t="s">
        <v>247</v>
      </c>
      <c r="BE56" t="s">
        <v>451</v>
      </c>
      <c r="BF56" t="s">
        <v>291</v>
      </c>
      <c r="BG56" t="s">
        <v>297</v>
      </c>
      <c r="BH56" t="s">
        <v>281</v>
      </c>
      <c r="BI56">
        <v>2</v>
      </c>
      <c r="BJ56" t="s">
        <v>354</v>
      </c>
      <c r="BK56" t="s">
        <v>467</v>
      </c>
      <c r="BL56" t="s">
        <v>446</v>
      </c>
      <c r="BM56" t="s">
        <v>444</v>
      </c>
      <c r="BN56" t="str">
        <f t="shared" si="3"/>
        <v>WHITE.NOISE_MUSIC</v>
      </c>
      <c r="BO56" t="s">
        <v>267</v>
      </c>
      <c r="BQ56">
        <v>6</v>
      </c>
      <c r="BR56">
        <v>6</v>
      </c>
      <c r="BS56" s="35">
        <v>12.131147540000001</v>
      </c>
      <c r="BT56" s="35">
        <v>3.4426229510000002</v>
      </c>
      <c r="BU56" s="35">
        <v>8.4326696059999993</v>
      </c>
      <c r="BV56" s="35"/>
      <c r="BW56" s="35">
        <v>56.06557377</v>
      </c>
      <c r="BX56" s="35">
        <v>2.1311475409999998</v>
      </c>
      <c r="BY56" s="35">
        <v>5.2202240419999999</v>
      </c>
      <c r="CB56" t="s">
        <v>268</v>
      </c>
      <c r="CD56" t="s">
        <v>268</v>
      </c>
      <c r="CE56" t="s">
        <v>267</v>
      </c>
      <c r="CF56" t="s">
        <v>309</v>
      </c>
      <c r="CG56" t="s">
        <v>268</v>
      </c>
      <c r="CI56" t="s">
        <v>268</v>
      </c>
      <c r="CK56" s="30">
        <f t="shared" si="1"/>
        <v>2</v>
      </c>
      <c r="CL56">
        <f t="shared" si="2"/>
        <v>8</v>
      </c>
    </row>
    <row r="57" spans="1:90" hidden="1" x14ac:dyDescent="0.35">
      <c r="A57" t="s">
        <v>607</v>
      </c>
      <c r="B57" t="s">
        <v>468</v>
      </c>
      <c r="C57" t="s">
        <v>469</v>
      </c>
      <c r="D57" t="s">
        <v>979</v>
      </c>
      <c r="E57" t="s">
        <v>470</v>
      </c>
      <c r="F57">
        <v>2019</v>
      </c>
      <c r="G57" t="s">
        <v>175</v>
      </c>
      <c r="I57" t="s">
        <v>176</v>
      </c>
      <c r="K57" t="s">
        <v>178</v>
      </c>
      <c r="L57" t="s">
        <v>177</v>
      </c>
      <c r="M57" t="s">
        <v>721</v>
      </c>
      <c r="N57" t="s">
        <v>179</v>
      </c>
      <c r="O57" t="s">
        <v>190</v>
      </c>
      <c r="P57" t="s">
        <v>471</v>
      </c>
      <c r="Q57" t="s">
        <v>187</v>
      </c>
      <c r="R57" t="s">
        <v>472</v>
      </c>
      <c r="S57" t="s">
        <v>204</v>
      </c>
      <c r="U57" t="s">
        <v>1117</v>
      </c>
      <c r="V57" t="s">
        <v>267</v>
      </c>
      <c r="W57" t="s">
        <v>473</v>
      </c>
      <c r="X57" t="s">
        <v>269</v>
      </c>
      <c r="AE57" t="s">
        <v>273</v>
      </c>
      <c r="AG57" t="s">
        <v>275</v>
      </c>
      <c r="AI57" t="s">
        <v>345</v>
      </c>
      <c r="AK57">
        <v>12</v>
      </c>
      <c r="AM57">
        <v>55</v>
      </c>
      <c r="AO57" t="s">
        <v>1106</v>
      </c>
      <c r="AP57" t="s">
        <v>281</v>
      </c>
      <c r="AQ57" t="s">
        <v>283</v>
      </c>
      <c r="AR57" t="s">
        <v>474</v>
      </c>
      <c r="AS57" t="s">
        <v>1094</v>
      </c>
      <c r="AT57" t="s">
        <v>313</v>
      </c>
      <c r="AU57" t="s">
        <v>191</v>
      </c>
      <c r="AV57" s="30">
        <v>1</v>
      </c>
      <c r="AW57" t="s">
        <v>287</v>
      </c>
      <c r="AX57">
        <v>65</v>
      </c>
      <c r="AZ57" t="s">
        <v>829</v>
      </c>
      <c r="BA57">
        <v>2</v>
      </c>
      <c r="BB57" t="s">
        <v>289</v>
      </c>
      <c r="BC57" t="s">
        <v>239</v>
      </c>
      <c r="BE57" t="s">
        <v>337</v>
      </c>
      <c r="BF57" t="s">
        <v>291</v>
      </c>
      <c r="BG57" t="s">
        <v>297</v>
      </c>
      <c r="BH57" t="s">
        <v>281</v>
      </c>
      <c r="BI57">
        <v>2</v>
      </c>
      <c r="BJ57" t="s">
        <v>322</v>
      </c>
      <c r="BK57" t="s">
        <v>475</v>
      </c>
      <c r="BL57" t="s">
        <v>479</v>
      </c>
      <c r="BM57" t="s">
        <v>942</v>
      </c>
      <c r="BN57" t="str">
        <f t="shared" si="3"/>
        <v>CGambient.noise_CGMozart</v>
      </c>
      <c r="BO57" t="s">
        <v>268</v>
      </c>
      <c r="BQ57">
        <v>10</v>
      </c>
      <c r="BR57">
        <v>10</v>
      </c>
      <c r="BS57" s="35">
        <v>214.9253731</v>
      </c>
      <c r="BT57" s="35">
        <v>2.388059701</v>
      </c>
      <c r="BU57" s="35">
        <v>7.5517078450000001</v>
      </c>
      <c r="BV57" s="35"/>
      <c r="BW57" s="35">
        <v>216.11940300000001</v>
      </c>
      <c r="BX57" s="35">
        <v>6.5671641789999997</v>
      </c>
      <c r="BY57" s="35">
        <v>20.767196569999999</v>
      </c>
      <c r="CB57" t="s">
        <v>268</v>
      </c>
      <c r="CD57" t="s">
        <v>268</v>
      </c>
      <c r="CE57" t="s">
        <v>267</v>
      </c>
      <c r="CF57" t="s">
        <v>309</v>
      </c>
      <c r="CG57" t="s">
        <v>268</v>
      </c>
      <c r="CI57" t="s">
        <v>268</v>
      </c>
      <c r="CK57" s="30">
        <f t="shared" si="1"/>
        <v>2</v>
      </c>
      <c r="CL57">
        <f t="shared" si="2"/>
        <v>7</v>
      </c>
    </row>
    <row r="58" spans="1:90" hidden="1" x14ac:dyDescent="0.35">
      <c r="A58" t="s">
        <v>608</v>
      </c>
      <c r="B58" t="s">
        <v>468</v>
      </c>
      <c r="C58" t="s">
        <v>469</v>
      </c>
      <c r="D58" t="s">
        <v>979</v>
      </c>
      <c r="E58" t="s">
        <v>470</v>
      </c>
      <c r="F58">
        <v>2019</v>
      </c>
      <c r="G58" t="s">
        <v>175</v>
      </c>
      <c r="I58" t="s">
        <v>331</v>
      </c>
      <c r="K58" t="s">
        <v>178</v>
      </c>
      <c r="L58" t="s">
        <v>177</v>
      </c>
      <c r="M58" t="s">
        <v>721</v>
      </c>
      <c r="N58" t="s">
        <v>179</v>
      </c>
      <c r="O58" t="s">
        <v>190</v>
      </c>
      <c r="P58" t="s">
        <v>471</v>
      </c>
      <c r="Q58" t="s">
        <v>187</v>
      </c>
      <c r="R58" t="s">
        <v>472</v>
      </c>
      <c r="S58" t="s">
        <v>204</v>
      </c>
      <c r="U58" t="s">
        <v>1117</v>
      </c>
      <c r="V58" t="s">
        <v>267</v>
      </c>
      <c r="W58" t="s">
        <v>473</v>
      </c>
      <c r="X58" t="s">
        <v>269</v>
      </c>
      <c r="AE58" t="s">
        <v>273</v>
      </c>
      <c r="AG58" t="s">
        <v>275</v>
      </c>
      <c r="AI58" t="s">
        <v>345</v>
      </c>
      <c r="AK58">
        <v>12</v>
      </c>
      <c r="AM58">
        <v>55</v>
      </c>
      <c r="AO58" t="s">
        <v>1106</v>
      </c>
      <c r="AP58" t="s">
        <v>281</v>
      </c>
      <c r="AQ58" t="s">
        <v>283</v>
      </c>
      <c r="AR58" t="s">
        <v>474</v>
      </c>
      <c r="AS58" t="s">
        <v>1094</v>
      </c>
      <c r="AT58" t="s">
        <v>313</v>
      </c>
      <c r="AU58" t="s">
        <v>191</v>
      </c>
      <c r="AV58" s="30">
        <v>1</v>
      </c>
      <c r="AW58" t="s">
        <v>287</v>
      </c>
      <c r="AX58">
        <v>65</v>
      </c>
      <c r="AZ58" t="s">
        <v>829</v>
      </c>
      <c r="BA58">
        <v>2</v>
      </c>
      <c r="BB58" t="s">
        <v>289</v>
      </c>
      <c r="BC58" t="s">
        <v>239</v>
      </c>
      <c r="BE58" t="s">
        <v>336</v>
      </c>
      <c r="BF58" t="s">
        <v>291</v>
      </c>
      <c r="BG58" t="s">
        <v>297</v>
      </c>
      <c r="BH58" t="s">
        <v>281</v>
      </c>
      <c r="BI58">
        <v>2</v>
      </c>
      <c r="BJ58" t="s">
        <v>322</v>
      </c>
      <c r="BK58" t="s">
        <v>477</v>
      </c>
      <c r="BL58" t="s">
        <v>479</v>
      </c>
      <c r="BM58" t="s">
        <v>942</v>
      </c>
      <c r="BN58" t="str">
        <f t="shared" si="3"/>
        <v>CGambient.noise_CGMozart</v>
      </c>
      <c r="BO58" t="s">
        <v>267</v>
      </c>
      <c r="BQ58">
        <v>10</v>
      </c>
      <c r="BR58">
        <v>10</v>
      </c>
      <c r="BS58" s="35">
        <v>57.839721249999997</v>
      </c>
      <c r="BT58" s="35">
        <v>4.8780487800000003</v>
      </c>
      <c r="BU58" s="35">
        <v>15.425744679999999</v>
      </c>
      <c r="BV58" s="35"/>
      <c r="BW58" s="35">
        <v>50.174216029999997</v>
      </c>
      <c r="BX58" s="35">
        <v>2.7874564460000002</v>
      </c>
      <c r="BY58" s="35">
        <v>8.8147112480000001</v>
      </c>
      <c r="CB58" t="s">
        <v>268</v>
      </c>
      <c r="CD58" t="s">
        <v>268</v>
      </c>
      <c r="CE58" t="s">
        <v>267</v>
      </c>
      <c r="CF58" t="s">
        <v>309</v>
      </c>
      <c r="CG58" t="s">
        <v>268</v>
      </c>
      <c r="CI58" t="s">
        <v>268</v>
      </c>
      <c r="CK58" s="30">
        <f t="shared" si="1"/>
        <v>2</v>
      </c>
      <c r="CL58">
        <f t="shared" si="2"/>
        <v>7</v>
      </c>
    </row>
    <row r="59" spans="1:90" hidden="1" x14ac:dyDescent="0.35">
      <c r="A59" t="s">
        <v>609</v>
      </c>
      <c r="B59" t="s">
        <v>468</v>
      </c>
      <c r="C59" t="s">
        <v>469</v>
      </c>
      <c r="D59" t="s">
        <v>979</v>
      </c>
      <c r="E59" t="s">
        <v>470</v>
      </c>
      <c r="F59">
        <v>2019</v>
      </c>
      <c r="G59" t="s">
        <v>344</v>
      </c>
      <c r="I59" t="s">
        <v>176</v>
      </c>
      <c r="K59" t="s">
        <v>178</v>
      </c>
      <c r="L59" t="s">
        <v>177</v>
      </c>
      <c r="M59" t="s">
        <v>721</v>
      </c>
      <c r="N59" t="s">
        <v>179</v>
      </c>
      <c r="O59" t="s">
        <v>190</v>
      </c>
      <c r="P59" t="s">
        <v>471</v>
      </c>
      <c r="Q59" t="s">
        <v>187</v>
      </c>
      <c r="R59" t="s">
        <v>472</v>
      </c>
      <c r="S59" t="s">
        <v>204</v>
      </c>
      <c r="U59" t="s">
        <v>1117</v>
      </c>
      <c r="V59" t="s">
        <v>267</v>
      </c>
      <c r="W59" t="s">
        <v>473</v>
      </c>
      <c r="X59" t="s">
        <v>270</v>
      </c>
      <c r="Y59" t="s">
        <v>230</v>
      </c>
      <c r="AA59" t="s">
        <v>190</v>
      </c>
      <c r="AB59" t="s">
        <v>478</v>
      </c>
      <c r="AC59">
        <v>12</v>
      </c>
      <c r="AE59" t="s">
        <v>273</v>
      </c>
      <c r="AG59" t="s">
        <v>275</v>
      </c>
      <c r="AI59" t="s">
        <v>345</v>
      </c>
      <c r="AK59">
        <v>12</v>
      </c>
      <c r="AM59">
        <v>55</v>
      </c>
      <c r="AO59" t="s">
        <v>1106</v>
      </c>
      <c r="AP59" t="s">
        <v>281</v>
      </c>
      <c r="AQ59" t="s">
        <v>283</v>
      </c>
      <c r="AR59" t="s">
        <v>474</v>
      </c>
      <c r="AS59" t="s">
        <v>1094</v>
      </c>
      <c r="AT59" t="s">
        <v>313</v>
      </c>
      <c r="AU59" t="s">
        <v>191</v>
      </c>
      <c r="AV59" s="30">
        <v>1</v>
      </c>
      <c r="AW59" t="s">
        <v>287</v>
      </c>
      <c r="AX59">
        <v>65</v>
      </c>
      <c r="AZ59" t="s">
        <v>829</v>
      </c>
      <c r="BA59">
        <v>2</v>
      </c>
      <c r="BB59" t="s">
        <v>289</v>
      </c>
      <c r="BC59" t="s">
        <v>239</v>
      </c>
      <c r="BE59" t="s">
        <v>337</v>
      </c>
      <c r="BF59" t="s">
        <v>291</v>
      </c>
      <c r="BG59" t="s">
        <v>297</v>
      </c>
      <c r="BH59" t="s">
        <v>281</v>
      </c>
      <c r="BI59">
        <v>2</v>
      </c>
      <c r="BJ59" t="s">
        <v>322</v>
      </c>
      <c r="BK59" t="s">
        <v>475</v>
      </c>
      <c r="BL59" t="s">
        <v>480</v>
      </c>
      <c r="BM59" t="s">
        <v>943</v>
      </c>
      <c r="BN59" t="str">
        <f t="shared" si="3"/>
        <v>MSambient.noise_MSMozart</v>
      </c>
      <c r="BO59" t="s">
        <v>268</v>
      </c>
      <c r="BQ59">
        <v>11</v>
      </c>
      <c r="BR59">
        <v>11</v>
      </c>
      <c r="BS59" s="35">
        <v>249.5522388</v>
      </c>
      <c r="BT59" s="35">
        <v>4.1791044780000002</v>
      </c>
      <c r="BU59" s="35">
        <v>13.86052151</v>
      </c>
      <c r="BV59" s="35"/>
      <c r="BW59" s="35">
        <v>212.53731339999999</v>
      </c>
      <c r="BX59" s="35">
        <v>6.5671641789999997</v>
      </c>
      <c r="BY59" s="35">
        <v>21.780819520000001</v>
      </c>
      <c r="CB59" t="s">
        <v>268</v>
      </c>
      <c r="CD59" t="s">
        <v>268</v>
      </c>
      <c r="CE59" t="s">
        <v>267</v>
      </c>
      <c r="CF59" t="s">
        <v>309</v>
      </c>
      <c r="CG59" t="s">
        <v>268</v>
      </c>
      <c r="CI59" t="s">
        <v>268</v>
      </c>
      <c r="CK59" s="30">
        <f t="shared" si="1"/>
        <v>2</v>
      </c>
      <c r="CL59">
        <f t="shared" si="2"/>
        <v>7</v>
      </c>
    </row>
    <row r="60" spans="1:90" hidden="1" x14ac:dyDescent="0.35">
      <c r="A60" t="s">
        <v>610</v>
      </c>
      <c r="B60" t="s">
        <v>468</v>
      </c>
      <c r="C60" t="s">
        <v>469</v>
      </c>
      <c r="D60" t="s">
        <v>979</v>
      </c>
      <c r="E60" t="s">
        <v>470</v>
      </c>
      <c r="F60">
        <v>2019</v>
      </c>
      <c r="G60" t="s">
        <v>344</v>
      </c>
      <c r="I60" t="s">
        <v>331</v>
      </c>
      <c r="K60" t="s">
        <v>178</v>
      </c>
      <c r="L60" t="s">
        <v>177</v>
      </c>
      <c r="M60" t="s">
        <v>721</v>
      </c>
      <c r="N60" t="s">
        <v>179</v>
      </c>
      <c r="O60" t="s">
        <v>190</v>
      </c>
      <c r="P60" t="s">
        <v>471</v>
      </c>
      <c r="Q60" t="s">
        <v>187</v>
      </c>
      <c r="R60" t="s">
        <v>472</v>
      </c>
      <c r="S60" t="s">
        <v>204</v>
      </c>
      <c r="U60" t="s">
        <v>1117</v>
      </c>
      <c r="V60" t="s">
        <v>267</v>
      </c>
      <c r="W60" t="s">
        <v>473</v>
      </c>
      <c r="X60" t="s">
        <v>270</v>
      </c>
      <c r="Y60" t="s">
        <v>230</v>
      </c>
      <c r="AA60" t="s">
        <v>190</v>
      </c>
      <c r="AB60" t="s">
        <v>478</v>
      </c>
      <c r="AC60">
        <v>12</v>
      </c>
      <c r="AE60" t="s">
        <v>273</v>
      </c>
      <c r="AG60" t="s">
        <v>275</v>
      </c>
      <c r="AI60" t="s">
        <v>345</v>
      </c>
      <c r="AK60">
        <v>12</v>
      </c>
      <c r="AM60">
        <v>55</v>
      </c>
      <c r="AO60" t="s">
        <v>1106</v>
      </c>
      <c r="AP60" t="s">
        <v>281</v>
      </c>
      <c r="AQ60" t="s">
        <v>283</v>
      </c>
      <c r="AR60" t="s">
        <v>474</v>
      </c>
      <c r="AS60" t="s">
        <v>1094</v>
      </c>
      <c r="AT60" t="s">
        <v>313</v>
      </c>
      <c r="AU60" t="s">
        <v>191</v>
      </c>
      <c r="AV60" s="30">
        <v>1</v>
      </c>
      <c r="AW60" t="s">
        <v>287</v>
      </c>
      <c r="AX60">
        <v>65</v>
      </c>
      <c r="AZ60" t="s">
        <v>829</v>
      </c>
      <c r="BA60">
        <v>2</v>
      </c>
      <c r="BB60" t="s">
        <v>289</v>
      </c>
      <c r="BC60" t="s">
        <v>239</v>
      </c>
      <c r="BE60" t="s">
        <v>336</v>
      </c>
      <c r="BF60" t="s">
        <v>291</v>
      </c>
      <c r="BG60" t="s">
        <v>297</v>
      </c>
      <c r="BH60" t="s">
        <v>281</v>
      </c>
      <c r="BI60">
        <v>2</v>
      </c>
      <c r="BJ60" t="s">
        <v>322</v>
      </c>
      <c r="BK60" t="s">
        <v>477</v>
      </c>
      <c r="BL60" t="s">
        <v>480</v>
      </c>
      <c r="BM60" t="s">
        <v>943</v>
      </c>
      <c r="BN60" t="str">
        <f t="shared" si="3"/>
        <v>MSambient.noise_MSMozart</v>
      </c>
      <c r="BO60" t="s">
        <v>267</v>
      </c>
      <c r="BQ60">
        <v>11</v>
      </c>
      <c r="BR60">
        <v>11</v>
      </c>
      <c r="BS60" s="35">
        <v>37.630662020000003</v>
      </c>
      <c r="BT60" s="35">
        <v>4.1811846690000003</v>
      </c>
      <c r="BU60" s="35">
        <v>13.867420729999999</v>
      </c>
      <c r="BV60" s="35"/>
      <c r="BW60" s="35">
        <v>61.324041809999997</v>
      </c>
      <c r="BX60" s="35">
        <v>2.0905923340000001</v>
      </c>
      <c r="BY60" s="35">
        <v>6.9337103630000003</v>
      </c>
      <c r="CB60" t="s">
        <v>268</v>
      </c>
      <c r="CD60" t="s">
        <v>268</v>
      </c>
      <c r="CE60" t="s">
        <v>267</v>
      </c>
      <c r="CF60" t="s">
        <v>309</v>
      </c>
      <c r="CG60" t="s">
        <v>268</v>
      </c>
      <c r="CI60" t="s">
        <v>268</v>
      </c>
      <c r="CK60" s="30">
        <f t="shared" si="1"/>
        <v>2</v>
      </c>
      <c r="CL60">
        <f t="shared" si="2"/>
        <v>7</v>
      </c>
    </row>
    <row r="61" spans="1:90" hidden="1" x14ac:dyDescent="0.35">
      <c r="A61" t="s">
        <v>611</v>
      </c>
      <c r="B61" t="s">
        <v>468</v>
      </c>
      <c r="C61" t="s">
        <v>469</v>
      </c>
      <c r="D61" t="s">
        <v>979</v>
      </c>
      <c r="E61" t="s">
        <v>470</v>
      </c>
      <c r="F61">
        <v>2019</v>
      </c>
      <c r="G61" t="s">
        <v>175</v>
      </c>
      <c r="I61" t="s">
        <v>332</v>
      </c>
      <c r="K61" t="s">
        <v>178</v>
      </c>
      <c r="L61" t="s">
        <v>177</v>
      </c>
      <c r="M61" t="s">
        <v>721</v>
      </c>
      <c r="N61" t="s">
        <v>179</v>
      </c>
      <c r="O61" t="s">
        <v>190</v>
      </c>
      <c r="P61" t="s">
        <v>471</v>
      </c>
      <c r="Q61" t="s">
        <v>187</v>
      </c>
      <c r="R61" t="s">
        <v>472</v>
      </c>
      <c r="S61" t="s">
        <v>204</v>
      </c>
      <c r="U61" t="s">
        <v>1117</v>
      </c>
      <c r="V61" t="s">
        <v>268</v>
      </c>
      <c r="X61" t="s">
        <v>269</v>
      </c>
      <c r="AE61" t="s">
        <v>273</v>
      </c>
      <c r="AG61" t="s">
        <v>275</v>
      </c>
      <c r="AI61" t="s">
        <v>345</v>
      </c>
      <c r="AK61">
        <v>12</v>
      </c>
      <c r="AM61">
        <v>55</v>
      </c>
      <c r="AO61" t="s">
        <v>1106</v>
      </c>
      <c r="AP61" t="s">
        <v>281</v>
      </c>
      <c r="AQ61" t="s">
        <v>283</v>
      </c>
      <c r="AR61" t="s">
        <v>474</v>
      </c>
      <c r="AS61" t="s">
        <v>1094</v>
      </c>
      <c r="AT61" t="s">
        <v>313</v>
      </c>
      <c r="AU61" t="s">
        <v>191</v>
      </c>
      <c r="AV61" s="30">
        <v>1</v>
      </c>
      <c r="AW61" t="s">
        <v>287</v>
      </c>
      <c r="AX61">
        <v>65</v>
      </c>
      <c r="AZ61" t="s">
        <v>829</v>
      </c>
      <c r="BA61">
        <v>2</v>
      </c>
      <c r="BB61" t="s">
        <v>289</v>
      </c>
      <c r="BC61" t="s">
        <v>239</v>
      </c>
      <c r="BE61" t="s">
        <v>481</v>
      </c>
      <c r="BF61" t="s">
        <v>294</v>
      </c>
      <c r="BG61" t="s">
        <v>300</v>
      </c>
      <c r="BH61" t="s">
        <v>281</v>
      </c>
      <c r="BI61">
        <v>2</v>
      </c>
      <c r="BJ61" t="s">
        <v>354</v>
      </c>
      <c r="BK61" t="s">
        <v>484</v>
      </c>
      <c r="BL61" t="s">
        <v>479</v>
      </c>
      <c r="BM61" t="s">
        <v>942</v>
      </c>
      <c r="BN61" t="str">
        <f t="shared" ref="BN61:BN92" si="4">_xlfn.CONCAT(BL61:BM61)</f>
        <v>CGambient.noise_CGMozart</v>
      </c>
      <c r="BO61" t="s">
        <v>267</v>
      </c>
      <c r="BP61" t="s">
        <v>488</v>
      </c>
      <c r="BQ61">
        <v>10</v>
      </c>
      <c r="BR61">
        <v>10</v>
      </c>
      <c r="BS61" s="35">
        <v>64.160839159999995</v>
      </c>
      <c r="BT61" s="35">
        <v>2.2727272730000001</v>
      </c>
      <c r="BU61" s="35">
        <v>7.1869946819999999</v>
      </c>
      <c r="BV61" s="35"/>
      <c r="BW61" s="35">
        <v>60.139860140000003</v>
      </c>
      <c r="BX61" s="35">
        <v>2.2727272730000001</v>
      </c>
      <c r="BY61" s="35">
        <v>7.1869946819999999</v>
      </c>
      <c r="CB61" t="s">
        <v>268</v>
      </c>
      <c r="CD61" t="s">
        <v>268</v>
      </c>
      <c r="CE61" t="s">
        <v>267</v>
      </c>
      <c r="CF61" t="s">
        <v>309</v>
      </c>
      <c r="CG61" t="s">
        <v>268</v>
      </c>
      <c r="CI61" t="s">
        <v>268</v>
      </c>
      <c r="CK61" s="30">
        <f t="shared" si="1"/>
        <v>2</v>
      </c>
      <c r="CL61">
        <f t="shared" si="2"/>
        <v>7</v>
      </c>
    </row>
    <row r="62" spans="1:90" hidden="1" x14ac:dyDescent="0.35">
      <c r="A62" t="s">
        <v>612</v>
      </c>
      <c r="B62" t="s">
        <v>468</v>
      </c>
      <c r="C62" t="s">
        <v>469</v>
      </c>
      <c r="D62" t="s">
        <v>979</v>
      </c>
      <c r="E62" t="s">
        <v>470</v>
      </c>
      <c r="F62">
        <v>2019</v>
      </c>
      <c r="G62" t="s">
        <v>175</v>
      </c>
      <c r="I62" t="s">
        <v>333</v>
      </c>
      <c r="K62" t="s">
        <v>178</v>
      </c>
      <c r="L62" t="s">
        <v>177</v>
      </c>
      <c r="M62" t="s">
        <v>721</v>
      </c>
      <c r="N62" t="s">
        <v>179</v>
      </c>
      <c r="O62" t="s">
        <v>190</v>
      </c>
      <c r="P62" t="s">
        <v>471</v>
      </c>
      <c r="Q62" t="s">
        <v>187</v>
      </c>
      <c r="R62" t="s">
        <v>472</v>
      </c>
      <c r="S62" t="s">
        <v>204</v>
      </c>
      <c r="U62" t="s">
        <v>1117</v>
      </c>
      <c r="V62" t="s">
        <v>268</v>
      </c>
      <c r="X62" t="s">
        <v>269</v>
      </c>
      <c r="AE62" t="s">
        <v>273</v>
      </c>
      <c r="AG62" t="s">
        <v>275</v>
      </c>
      <c r="AI62" t="s">
        <v>345</v>
      </c>
      <c r="AK62">
        <v>12</v>
      </c>
      <c r="AM62">
        <v>55</v>
      </c>
      <c r="AO62" t="s">
        <v>1106</v>
      </c>
      <c r="AP62" t="s">
        <v>281</v>
      </c>
      <c r="AQ62" t="s">
        <v>283</v>
      </c>
      <c r="AR62" t="s">
        <v>474</v>
      </c>
      <c r="AS62" t="s">
        <v>1094</v>
      </c>
      <c r="AT62" t="s">
        <v>313</v>
      </c>
      <c r="AU62" t="s">
        <v>191</v>
      </c>
      <c r="AV62" s="30">
        <v>1</v>
      </c>
      <c r="AW62" t="s">
        <v>287</v>
      </c>
      <c r="AX62">
        <v>65</v>
      </c>
      <c r="AZ62" t="s">
        <v>829</v>
      </c>
      <c r="BA62">
        <v>2</v>
      </c>
      <c r="BB62" t="s">
        <v>289</v>
      </c>
      <c r="BC62" t="s">
        <v>239</v>
      </c>
      <c r="BE62" t="s">
        <v>482</v>
      </c>
      <c r="BF62" t="s">
        <v>292</v>
      </c>
      <c r="BG62" t="s">
        <v>298</v>
      </c>
      <c r="BH62" t="s">
        <v>281</v>
      </c>
      <c r="BI62">
        <v>2</v>
      </c>
      <c r="BJ62" t="s">
        <v>354</v>
      </c>
      <c r="BK62" t="s">
        <v>485</v>
      </c>
      <c r="BL62" t="s">
        <v>479</v>
      </c>
      <c r="BM62" t="s">
        <v>942</v>
      </c>
      <c r="BN62" t="str">
        <f t="shared" si="4"/>
        <v>CGambient.noise_CGMozart</v>
      </c>
      <c r="BO62" t="s">
        <v>268</v>
      </c>
      <c r="BP62" t="s">
        <v>488</v>
      </c>
      <c r="BQ62">
        <v>10</v>
      </c>
      <c r="BR62">
        <v>10</v>
      </c>
      <c r="BS62" s="35">
        <v>51.029411760000002</v>
      </c>
      <c r="BT62" s="35">
        <v>1.6176470590000001</v>
      </c>
      <c r="BU62" s="35">
        <v>5.1154491560000004</v>
      </c>
      <c r="BV62" s="35"/>
      <c r="BW62" s="35">
        <v>50.58823529</v>
      </c>
      <c r="BX62" s="35">
        <v>2.3529411759999999</v>
      </c>
      <c r="BY62" s="35">
        <v>7.4406533179999998</v>
      </c>
      <c r="CB62" t="s">
        <v>268</v>
      </c>
      <c r="CD62" t="s">
        <v>268</v>
      </c>
      <c r="CE62" t="s">
        <v>267</v>
      </c>
      <c r="CF62" t="s">
        <v>309</v>
      </c>
      <c r="CG62" t="s">
        <v>268</v>
      </c>
      <c r="CI62" t="s">
        <v>268</v>
      </c>
      <c r="CK62" s="30">
        <f t="shared" si="1"/>
        <v>2</v>
      </c>
      <c r="CL62">
        <f t="shared" si="2"/>
        <v>7</v>
      </c>
    </row>
    <row r="63" spans="1:90" hidden="1" x14ac:dyDescent="0.35">
      <c r="A63" t="s">
        <v>613</v>
      </c>
      <c r="B63" t="s">
        <v>468</v>
      </c>
      <c r="C63" t="s">
        <v>469</v>
      </c>
      <c r="D63" t="s">
        <v>979</v>
      </c>
      <c r="E63" t="s">
        <v>470</v>
      </c>
      <c r="F63">
        <v>2019</v>
      </c>
      <c r="G63" t="s">
        <v>175</v>
      </c>
      <c r="I63" t="s">
        <v>334</v>
      </c>
      <c r="K63" t="s">
        <v>178</v>
      </c>
      <c r="L63" t="s">
        <v>177</v>
      </c>
      <c r="M63" t="s">
        <v>721</v>
      </c>
      <c r="N63" t="s">
        <v>179</v>
      </c>
      <c r="O63" t="s">
        <v>190</v>
      </c>
      <c r="P63" t="s">
        <v>471</v>
      </c>
      <c r="Q63" t="s">
        <v>187</v>
      </c>
      <c r="R63" t="s">
        <v>472</v>
      </c>
      <c r="S63" t="s">
        <v>204</v>
      </c>
      <c r="U63" t="s">
        <v>1117</v>
      </c>
      <c r="V63" t="s">
        <v>268</v>
      </c>
      <c r="X63" t="s">
        <v>269</v>
      </c>
      <c r="AE63" t="s">
        <v>273</v>
      </c>
      <c r="AG63" t="s">
        <v>275</v>
      </c>
      <c r="AI63" t="s">
        <v>345</v>
      </c>
      <c r="AK63">
        <v>12</v>
      </c>
      <c r="AM63">
        <v>55</v>
      </c>
      <c r="AO63" t="s">
        <v>1106</v>
      </c>
      <c r="AP63" t="s">
        <v>281</v>
      </c>
      <c r="AQ63" t="s">
        <v>283</v>
      </c>
      <c r="AR63" t="s">
        <v>474</v>
      </c>
      <c r="AS63" t="s">
        <v>1094</v>
      </c>
      <c r="AT63" t="s">
        <v>313</v>
      </c>
      <c r="AU63" t="s">
        <v>191</v>
      </c>
      <c r="AV63" s="30">
        <v>1</v>
      </c>
      <c r="AW63" t="s">
        <v>287</v>
      </c>
      <c r="AX63">
        <v>65</v>
      </c>
      <c r="AZ63" t="s">
        <v>829</v>
      </c>
      <c r="BA63">
        <v>2</v>
      </c>
      <c r="BB63" t="s">
        <v>289</v>
      </c>
      <c r="BC63" t="s">
        <v>239</v>
      </c>
      <c r="BE63" t="s">
        <v>483</v>
      </c>
      <c r="BF63" t="s">
        <v>294</v>
      </c>
      <c r="BG63" t="s">
        <v>300</v>
      </c>
      <c r="BH63" t="s">
        <v>281</v>
      </c>
      <c r="BI63">
        <v>2</v>
      </c>
      <c r="BJ63" t="s">
        <v>354</v>
      </c>
      <c r="BK63" t="s">
        <v>486</v>
      </c>
      <c r="BL63" t="s">
        <v>479</v>
      </c>
      <c r="BM63" t="s">
        <v>942</v>
      </c>
      <c r="BN63" t="str">
        <f t="shared" si="4"/>
        <v>CGambient.noise_CGMozart</v>
      </c>
      <c r="BO63" t="s">
        <v>267</v>
      </c>
      <c r="BP63" t="s">
        <v>487</v>
      </c>
      <c r="BQ63">
        <v>10</v>
      </c>
      <c r="BR63">
        <v>10</v>
      </c>
      <c r="BS63" s="35">
        <v>9.4272445820000002</v>
      </c>
      <c r="BT63" s="35">
        <v>0.27863777099999998</v>
      </c>
      <c r="BU63" s="35">
        <v>0.88112999800000003</v>
      </c>
      <c r="BV63" s="35"/>
      <c r="BW63" s="35">
        <v>10.448916410000001</v>
      </c>
      <c r="BX63" s="35">
        <v>0.78947368399999995</v>
      </c>
      <c r="BY63" s="35">
        <v>2.4965349950000002</v>
      </c>
      <c r="CB63" t="s">
        <v>268</v>
      </c>
      <c r="CD63" t="s">
        <v>268</v>
      </c>
      <c r="CE63" t="s">
        <v>267</v>
      </c>
      <c r="CF63" t="s">
        <v>309</v>
      </c>
      <c r="CG63" t="s">
        <v>268</v>
      </c>
      <c r="CI63" t="s">
        <v>268</v>
      </c>
      <c r="CK63" s="30">
        <f t="shared" si="1"/>
        <v>2</v>
      </c>
      <c r="CL63">
        <f t="shared" si="2"/>
        <v>7</v>
      </c>
    </row>
    <row r="64" spans="1:90" hidden="1" x14ac:dyDescent="0.35">
      <c r="A64" t="s">
        <v>614</v>
      </c>
      <c r="B64" t="s">
        <v>468</v>
      </c>
      <c r="C64" t="s">
        <v>469</v>
      </c>
      <c r="D64" t="s">
        <v>979</v>
      </c>
      <c r="E64" t="s">
        <v>470</v>
      </c>
      <c r="F64">
        <v>2019</v>
      </c>
      <c r="G64" t="s">
        <v>344</v>
      </c>
      <c r="I64" t="s">
        <v>332</v>
      </c>
      <c r="K64" t="s">
        <v>178</v>
      </c>
      <c r="L64" t="s">
        <v>177</v>
      </c>
      <c r="M64" t="s">
        <v>721</v>
      </c>
      <c r="N64" t="s">
        <v>179</v>
      </c>
      <c r="O64" t="s">
        <v>190</v>
      </c>
      <c r="P64" t="s">
        <v>471</v>
      </c>
      <c r="Q64" t="s">
        <v>187</v>
      </c>
      <c r="R64" t="s">
        <v>472</v>
      </c>
      <c r="S64" t="s">
        <v>204</v>
      </c>
      <c r="U64" t="s">
        <v>1117</v>
      </c>
      <c r="V64" t="s">
        <v>267</v>
      </c>
      <c r="W64" t="s">
        <v>473</v>
      </c>
      <c r="X64" t="s">
        <v>270</v>
      </c>
      <c r="Y64" t="s">
        <v>230</v>
      </c>
      <c r="AA64" t="s">
        <v>190</v>
      </c>
      <c r="AB64" t="s">
        <v>478</v>
      </c>
      <c r="AC64">
        <v>12</v>
      </c>
      <c r="AE64" t="s">
        <v>273</v>
      </c>
      <c r="AG64" t="s">
        <v>275</v>
      </c>
      <c r="AI64" t="s">
        <v>345</v>
      </c>
      <c r="AK64">
        <v>12</v>
      </c>
      <c r="AM64">
        <v>55</v>
      </c>
      <c r="AO64" t="s">
        <v>1106</v>
      </c>
      <c r="AP64" t="s">
        <v>281</v>
      </c>
      <c r="AQ64" t="s">
        <v>283</v>
      </c>
      <c r="AR64" t="s">
        <v>474</v>
      </c>
      <c r="AS64" t="s">
        <v>1094</v>
      </c>
      <c r="AT64" t="s">
        <v>313</v>
      </c>
      <c r="AU64" t="s">
        <v>191</v>
      </c>
      <c r="AV64" s="30">
        <v>1</v>
      </c>
      <c r="AW64" t="s">
        <v>287</v>
      </c>
      <c r="AX64">
        <v>65</v>
      </c>
      <c r="AZ64" t="s">
        <v>829</v>
      </c>
      <c r="BA64">
        <v>2</v>
      </c>
      <c r="BB64" t="s">
        <v>289</v>
      </c>
      <c r="BC64" t="s">
        <v>239</v>
      </c>
      <c r="BE64" t="s">
        <v>481</v>
      </c>
      <c r="BF64" t="s">
        <v>294</v>
      </c>
      <c r="BG64" t="s">
        <v>300</v>
      </c>
      <c r="BH64" t="s">
        <v>281</v>
      </c>
      <c r="BI64">
        <v>2</v>
      </c>
      <c r="BJ64" t="s">
        <v>354</v>
      </c>
      <c r="BK64" t="s">
        <v>484</v>
      </c>
      <c r="BL64" t="s">
        <v>480</v>
      </c>
      <c r="BM64" t="s">
        <v>943</v>
      </c>
      <c r="BN64" t="str">
        <f t="shared" si="4"/>
        <v>MSambient.noise_MSMozart</v>
      </c>
      <c r="BO64" t="s">
        <v>267</v>
      </c>
      <c r="BP64" t="s">
        <v>488</v>
      </c>
      <c r="BQ64">
        <v>11</v>
      </c>
      <c r="BR64">
        <v>11</v>
      </c>
      <c r="BS64" s="35">
        <v>54.195804199999998</v>
      </c>
      <c r="BT64" s="35">
        <v>2.2727272730000001</v>
      </c>
      <c r="BU64" s="35">
        <v>7.5377836140000003</v>
      </c>
      <c r="BV64" s="35"/>
      <c r="BW64" s="35">
        <v>63.811188809999997</v>
      </c>
      <c r="BX64" s="35">
        <v>1.923076923</v>
      </c>
      <c r="BY64" s="35">
        <v>6.3781245970000002</v>
      </c>
      <c r="CB64" t="s">
        <v>268</v>
      </c>
      <c r="CD64" t="s">
        <v>268</v>
      </c>
      <c r="CE64" t="s">
        <v>267</v>
      </c>
      <c r="CF64" t="s">
        <v>309</v>
      </c>
      <c r="CG64" t="s">
        <v>268</v>
      </c>
      <c r="CI64" t="s">
        <v>268</v>
      </c>
      <c r="CK64" s="30">
        <f t="shared" si="1"/>
        <v>2</v>
      </c>
      <c r="CL64">
        <f t="shared" si="2"/>
        <v>7</v>
      </c>
    </row>
    <row r="65" spans="1:90" hidden="1" x14ac:dyDescent="0.35">
      <c r="A65" t="s">
        <v>615</v>
      </c>
      <c r="B65" t="s">
        <v>468</v>
      </c>
      <c r="C65" t="s">
        <v>469</v>
      </c>
      <c r="D65" t="s">
        <v>979</v>
      </c>
      <c r="E65" t="s">
        <v>470</v>
      </c>
      <c r="F65">
        <v>2019</v>
      </c>
      <c r="G65" t="s">
        <v>344</v>
      </c>
      <c r="I65" t="s">
        <v>333</v>
      </c>
      <c r="K65" t="s">
        <v>178</v>
      </c>
      <c r="L65" t="s">
        <v>177</v>
      </c>
      <c r="M65" t="s">
        <v>721</v>
      </c>
      <c r="N65" t="s">
        <v>179</v>
      </c>
      <c r="O65" t="s">
        <v>190</v>
      </c>
      <c r="P65" t="s">
        <v>471</v>
      </c>
      <c r="Q65" t="s">
        <v>187</v>
      </c>
      <c r="R65" t="s">
        <v>472</v>
      </c>
      <c r="S65" t="s">
        <v>204</v>
      </c>
      <c r="U65" t="s">
        <v>1117</v>
      </c>
      <c r="V65" t="s">
        <v>267</v>
      </c>
      <c r="W65" t="s">
        <v>473</v>
      </c>
      <c r="X65" t="s">
        <v>270</v>
      </c>
      <c r="Y65" t="s">
        <v>230</v>
      </c>
      <c r="AA65" t="s">
        <v>190</v>
      </c>
      <c r="AB65" t="s">
        <v>478</v>
      </c>
      <c r="AC65">
        <v>12</v>
      </c>
      <c r="AE65" t="s">
        <v>273</v>
      </c>
      <c r="AG65" t="s">
        <v>275</v>
      </c>
      <c r="AI65" t="s">
        <v>345</v>
      </c>
      <c r="AK65">
        <v>12</v>
      </c>
      <c r="AM65">
        <v>55</v>
      </c>
      <c r="AO65" t="s">
        <v>1106</v>
      </c>
      <c r="AP65" t="s">
        <v>281</v>
      </c>
      <c r="AQ65" t="s">
        <v>283</v>
      </c>
      <c r="AR65" t="s">
        <v>474</v>
      </c>
      <c r="AS65" t="s">
        <v>1094</v>
      </c>
      <c r="AT65" t="s">
        <v>313</v>
      </c>
      <c r="AU65" t="s">
        <v>191</v>
      </c>
      <c r="AV65" s="30">
        <v>1</v>
      </c>
      <c r="AW65" t="s">
        <v>287</v>
      </c>
      <c r="AX65">
        <v>65</v>
      </c>
      <c r="AZ65" t="s">
        <v>829</v>
      </c>
      <c r="BA65">
        <v>2</v>
      </c>
      <c r="BB65" t="s">
        <v>289</v>
      </c>
      <c r="BC65" t="s">
        <v>239</v>
      </c>
      <c r="BE65" t="s">
        <v>482</v>
      </c>
      <c r="BF65" t="s">
        <v>292</v>
      </c>
      <c r="BG65" t="s">
        <v>298</v>
      </c>
      <c r="BH65" t="s">
        <v>281</v>
      </c>
      <c r="BI65">
        <v>2</v>
      </c>
      <c r="BJ65" t="s">
        <v>354</v>
      </c>
      <c r="BK65" t="s">
        <v>485</v>
      </c>
      <c r="BL65" t="s">
        <v>480</v>
      </c>
      <c r="BM65" t="s">
        <v>943</v>
      </c>
      <c r="BN65" t="str">
        <f t="shared" si="4"/>
        <v>MSambient.noise_MSMozart</v>
      </c>
      <c r="BO65" t="s">
        <v>268</v>
      </c>
      <c r="BP65" t="s">
        <v>488</v>
      </c>
      <c r="BQ65">
        <v>11</v>
      </c>
      <c r="BR65">
        <v>11</v>
      </c>
      <c r="BS65" s="35">
        <v>61.617647060000003</v>
      </c>
      <c r="BT65" s="35">
        <v>1.911764706</v>
      </c>
      <c r="BU65" s="35">
        <v>6.3406062170000004</v>
      </c>
      <c r="BV65" s="35"/>
      <c r="BW65" s="35">
        <v>55</v>
      </c>
      <c r="BX65" s="35">
        <v>1.911764706</v>
      </c>
      <c r="BY65" s="35">
        <v>6.3406062170000004</v>
      </c>
      <c r="CB65" t="s">
        <v>268</v>
      </c>
      <c r="CD65" t="s">
        <v>268</v>
      </c>
      <c r="CE65" t="s">
        <v>267</v>
      </c>
      <c r="CF65" t="s">
        <v>309</v>
      </c>
      <c r="CG65" t="s">
        <v>268</v>
      </c>
      <c r="CI65" t="s">
        <v>268</v>
      </c>
      <c r="CK65" s="30">
        <f t="shared" si="1"/>
        <v>2</v>
      </c>
      <c r="CL65">
        <f t="shared" si="2"/>
        <v>7</v>
      </c>
    </row>
    <row r="66" spans="1:90" hidden="1" x14ac:dyDescent="0.35">
      <c r="A66" t="s">
        <v>616</v>
      </c>
      <c r="B66" t="s">
        <v>468</v>
      </c>
      <c r="C66" t="s">
        <v>469</v>
      </c>
      <c r="D66" t="s">
        <v>979</v>
      </c>
      <c r="E66" t="s">
        <v>470</v>
      </c>
      <c r="F66">
        <v>2019</v>
      </c>
      <c r="G66" t="s">
        <v>344</v>
      </c>
      <c r="I66" t="s">
        <v>334</v>
      </c>
      <c r="K66" t="s">
        <v>178</v>
      </c>
      <c r="L66" t="s">
        <v>177</v>
      </c>
      <c r="M66" t="s">
        <v>721</v>
      </c>
      <c r="N66" t="s">
        <v>179</v>
      </c>
      <c r="O66" t="s">
        <v>190</v>
      </c>
      <c r="P66" t="s">
        <v>471</v>
      </c>
      <c r="Q66" t="s">
        <v>187</v>
      </c>
      <c r="R66" t="s">
        <v>472</v>
      </c>
      <c r="S66" t="s">
        <v>204</v>
      </c>
      <c r="U66" t="s">
        <v>1117</v>
      </c>
      <c r="V66" t="s">
        <v>267</v>
      </c>
      <c r="W66" t="s">
        <v>473</v>
      </c>
      <c r="X66" t="s">
        <v>270</v>
      </c>
      <c r="Y66" t="s">
        <v>230</v>
      </c>
      <c r="AA66" t="s">
        <v>190</v>
      </c>
      <c r="AB66" t="s">
        <v>478</v>
      </c>
      <c r="AC66">
        <v>12</v>
      </c>
      <c r="AE66" t="s">
        <v>273</v>
      </c>
      <c r="AG66" t="s">
        <v>275</v>
      </c>
      <c r="AI66" t="s">
        <v>345</v>
      </c>
      <c r="AK66">
        <v>12</v>
      </c>
      <c r="AM66">
        <v>55</v>
      </c>
      <c r="AO66" t="s">
        <v>1106</v>
      </c>
      <c r="AP66" t="s">
        <v>281</v>
      </c>
      <c r="AQ66" t="s">
        <v>283</v>
      </c>
      <c r="AR66" t="s">
        <v>474</v>
      </c>
      <c r="AS66" t="s">
        <v>1094</v>
      </c>
      <c r="AT66" t="s">
        <v>313</v>
      </c>
      <c r="AU66" t="s">
        <v>191</v>
      </c>
      <c r="AV66" s="30">
        <v>1</v>
      </c>
      <c r="AW66" t="s">
        <v>287</v>
      </c>
      <c r="AX66">
        <v>65</v>
      </c>
      <c r="AZ66" t="s">
        <v>829</v>
      </c>
      <c r="BA66">
        <v>2</v>
      </c>
      <c r="BB66" t="s">
        <v>289</v>
      </c>
      <c r="BC66" t="s">
        <v>239</v>
      </c>
      <c r="BE66" t="s">
        <v>483</v>
      </c>
      <c r="BF66" t="s">
        <v>294</v>
      </c>
      <c r="BG66" t="s">
        <v>300</v>
      </c>
      <c r="BH66" t="s">
        <v>281</v>
      </c>
      <c r="BI66">
        <v>2</v>
      </c>
      <c r="BJ66" t="s">
        <v>354</v>
      </c>
      <c r="BK66" t="s">
        <v>486</v>
      </c>
      <c r="BL66" t="s">
        <v>480</v>
      </c>
      <c r="BM66" t="s">
        <v>943</v>
      </c>
      <c r="BN66" t="str">
        <f t="shared" si="4"/>
        <v>MSambient.noise_MSMozart</v>
      </c>
      <c r="BO66" t="s">
        <v>267</v>
      </c>
      <c r="BP66" t="s">
        <v>487</v>
      </c>
      <c r="BQ66">
        <v>11</v>
      </c>
      <c r="BR66">
        <v>11</v>
      </c>
      <c r="BS66" s="35">
        <v>5.6656346749999997</v>
      </c>
      <c r="BT66" s="35">
        <v>0.55727554199999996</v>
      </c>
      <c r="BU66" s="35">
        <v>1.848273877</v>
      </c>
      <c r="BV66" s="35"/>
      <c r="BW66" s="35">
        <v>8.4520123839999997</v>
      </c>
      <c r="BX66" s="35">
        <v>0.60371516999999997</v>
      </c>
      <c r="BY66" s="35">
        <v>2.0022967</v>
      </c>
      <c r="CB66" t="s">
        <v>268</v>
      </c>
      <c r="CD66" t="s">
        <v>268</v>
      </c>
      <c r="CE66" t="s">
        <v>267</v>
      </c>
      <c r="CF66" t="s">
        <v>309</v>
      </c>
      <c r="CG66" t="s">
        <v>268</v>
      </c>
      <c r="CI66" t="s">
        <v>268</v>
      </c>
      <c r="CK66" s="30">
        <f t="shared" ref="CK66:CK129" si="5">(CB66="Yes")+(CD66="Yes")+(CE66="Yes")+(CI66="No")</f>
        <v>2</v>
      </c>
      <c r="CL66">
        <f t="shared" ref="CL66:CL129" si="6">CK66+AV66+BA66+BI66</f>
        <v>7</v>
      </c>
    </row>
    <row r="67" spans="1:90" hidden="1" x14ac:dyDescent="0.35">
      <c r="A67" t="s">
        <v>617</v>
      </c>
      <c r="B67" t="s">
        <v>468</v>
      </c>
      <c r="C67" t="s">
        <v>469</v>
      </c>
      <c r="D67" t="s">
        <v>979</v>
      </c>
      <c r="E67" t="s">
        <v>470</v>
      </c>
      <c r="F67">
        <v>2019</v>
      </c>
      <c r="G67" t="s">
        <v>175</v>
      </c>
      <c r="I67" t="s">
        <v>335</v>
      </c>
      <c r="K67" t="s">
        <v>178</v>
      </c>
      <c r="L67" t="s">
        <v>177</v>
      </c>
      <c r="M67" t="s">
        <v>721</v>
      </c>
      <c r="N67" t="s">
        <v>179</v>
      </c>
      <c r="O67" t="s">
        <v>190</v>
      </c>
      <c r="P67" t="s">
        <v>490</v>
      </c>
      <c r="Q67" t="s">
        <v>187</v>
      </c>
      <c r="R67" t="s">
        <v>489</v>
      </c>
      <c r="S67" t="s">
        <v>204</v>
      </c>
      <c r="U67" t="s">
        <v>1117</v>
      </c>
      <c r="V67" t="s">
        <v>268</v>
      </c>
      <c r="X67" t="s">
        <v>269</v>
      </c>
      <c r="AE67" t="s">
        <v>273</v>
      </c>
      <c r="AG67" t="s">
        <v>275</v>
      </c>
      <c r="AI67" t="s">
        <v>345</v>
      </c>
      <c r="AK67">
        <v>12</v>
      </c>
      <c r="AM67">
        <v>55</v>
      </c>
      <c r="AO67" t="s">
        <v>1106</v>
      </c>
      <c r="AP67" t="s">
        <v>281</v>
      </c>
      <c r="AQ67" t="s">
        <v>283</v>
      </c>
      <c r="AR67" t="s">
        <v>474</v>
      </c>
      <c r="AS67" t="s">
        <v>1094</v>
      </c>
      <c r="AT67" t="s">
        <v>313</v>
      </c>
      <c r="AU67" t="s">
        <v>191</v>
      </c>
      <c r="AV67" s="30">
        <v>1</v>
      </c>
      <c r="AW67" t="s">
        <v>287</v>
      </c>
      <c r="AX67">
        <v>65</v>
      </c>
      <c r="AZ67" t="s">
        <v>829</v>
      </c>
      <c r="BA67">
        <v>2</v>
      </c>
      <c r="BB67" t="s">
        <v>290</v>
      </c>
      <c r="BC67" t="s">
        <v>261</v>
      </c>
      <c r="BD67" t="s">
        <v>494</v>
      </c>
      <c r="BE67" t="s">
        <v>558</v>
      </c>
      <c r="BF67" t="s">
        <v>291</v>
      </c>
      <c r="BG67" t="s">
        <v>297</v>
      </c>
      <c r="BH67" t="s">
        <v>281</v>
      </c>
      <c r="BI67">
        <v>2</v>
      </c>
      <c r="BJ67" t="s">
        <v>498</v>
      </c>
      <c r="BK67" t="s">
        <v>499</v>
      </c>
      <c r="BL67" t="s">
        <v>479</v>
      </c>
      <c r="BM67" t="s">
        <v>942</v>
      </c>
      <c r="BN67" t="str">
        <f t="shared" si="4"/>
        <v>CGambient.noise_CGMozart</v>
      </c>
      <c r="BO67" t="s">
        <v>268</v>
      </c>
      <c r="BP67" t="s">
        <v>503</v>
      </c>
      <c r="BQ67">
        <v>10</v>
      </c>
      <c r="BR67">
        <v>10</v>
      </c>
      <c r="BS67" s="35">
        <v>135.53223389999999</v>
      </c>
      <c r="BT67" s="35">
        <v>4.7976011989999998</v>
      </c>
      <c r="BU67" s="35">
        <v>15.1713471</v>
      </c>
      <c r="BV67" s="35"/>
      <c r="BW67" s="35">
        <v>124.7376312</v>
      </c>
      <c r="BX67" s="35">
        <v>1.7991004500000001</v>
      </c>
      <c r="BY67" s="35">
        <v>5.6892551610000002</v>
      </c>
      <c r="CB67" t="s">
        <v>268</v>
      </c>
      <c r="CD67" t="s">
        <v>268</v>
      </c>
      <c r="CE67" t="s">
        <v>267</v>
      </c>
      <c r="CF67" t="s">
        <v>309</v>
      </c>
      <c r="CG67" t="s">
        <v>268</v>
      </c>
      <c r="CI67" t="s">
        <v>268</v>
      </c>
      <c r="CK67" s="30">
        <f t="shared" si="5"/>
        <v>2</v>
      </c>
      <c r="CL67">
        <f t="shared" si="6"/>
        <v>7</v>
      </c>
    </row>
    <row r="68" spans="1:90" hidden="1" x14ac:dyDescent="0.35">
      <c r="A68" t="s">
        <v>618</v>
      </c>
      <c r="B68" t="s">
        <v>468</v>
      </c>
      <c r="C68" t="s">
        <v>469</v>
      </c>
      <c r="D68" t="s">
        <v>979</v>
      </c>
      <c r="E68" t="s">
        <v>470</v>
      </c>
      <c r="F68">
        <v>2019</v>
      </c>
      <c r="G68" t="s">
        <v>175</v>
      </c>
      <c r="I68" t="s">
        <v>491</v>
      </c>
      <c r="K68" t="s">
        <v>178</v>
      </c>
      <c r="L68" t="s">
        <v>177</v>
      </c>
      <c r="M68" t="s">
        <v>721</v>
      </c>
      <c r="N68" t="s">
        <v>179</v>
      </c>
      <c r="O68" t="s">
        <v>190</v>
      </c>
      <c r="P68" t="s">
        <v>490</v>
      </c>
      <c r="Q68" t="s">
        <v>187</v>
      </c>
      <c r="R68" t="s">
        <v>489</v>
      </c>
      <c r="S68" t="s">
        <v>204</v>
      </c>
      <c r="U68" t="s">
        <v>1117</v>
      </c>
      <c r="V68" t="s">
        <v>268</v>
      </c>
      <c r="X68" t="s">
        <v>269</v>
      </c>
      <c r="AE68" t="s">
        <v>273</v>
      </c>
      <c r="AG68" t="s">
        <v>275</v>
      </c>
      <c r="AI68" t="s">
        <v>345</v>
      </c>
      <c r="AK68">
        <v>12</v>
      </c>
      <c r="AM68">
        <v>55</v>
      </c>
      <c r="AO68" t="s">
        <v>1106</v>
      </c>
      <c r="AP68" t="s">
        <v>281</v>
      </c>
      <c r="AQ68" t="s">
        <v>283</v>
      </c>
      <c r="AR68" t="s">
        <v>474</v>
      </c>
      <c r="AS68" t="s">
        <v>1094</v>
      </c>
      <c r="AT68" t="s">
        <v>313</v>
      </c>
      <c r="AU68" t="s">
        <v>191</v>
      </c>
      <c r="AV68" s="30">
        <v>1</v>
      </c>
      <c r="AW68" t="s">
        <v>287</v>
      </c>
      <c r="AX68">
        <v>65</v>
      </c>
      <c r="AZ68" t="s">
        <v>829</v>
      </c>
      <c r="BA68">
        <v>2</v>
      </c>
      <c r="BB68" t="s">
        <v>290</v>
      </c>
      <c r="BC68" t="s">
        <v>261</v>
      </c>
      <c r="BD68" t="s">
        <v>494</v>
      </c>
      <c r="BE68" t="s">
        <v>495</v>
      </c>
      <c r="BF68" t="s">
        <v>291</v>
      </c>
      <c r="BG68" t="s">
        <v>297</v>
      </c>
      <c r="BH68" t="s">
        <v>281</v>
      </c>
      <c r="BI68">
        <v>2</v>
      </c>
      <c r="BJ68" t="s">
        <v>498</v>
      </c>
      <c r="BK68" t="s">
        <v>500</v>
      </c>
      <c r="BL68" t="s">
        <v>479</v>
      </c>
      <c r="BM68" t="s">
        <v>942</v>
      </c>
      <c r="BN68" t="str">
        <f t="shared" si="4"/>
        <v>CGambient.noise_CGMozart</v>
      </c>
      <c r="BO68" t="s">
        <v>267</v>
      </c>
      <c r="BP68" t="s">
        <v>503</v>
      </c>
      <c r="BQ68">
        <v>10</v>
      </c>
      <c r="BR68">
        <v>10</v>
      </c>
      <c r="BS68" s="35">
        <v>165.05139500000001</v>
      </c>
      <c r="BT68" s="35">
        <v>4.6989720999999998</v>
      </c>
      <c r="BU68" s="35">
        <v>14.8594545</v>
      </c>
      <c r="BV68" s="35"/>
      <c r="BW68" s="35">
        <v>176.21145369999999</v>
      </c>
      <c r="BX68" s="35">
        <v>2.3494860499999999</v>
      </c>
      <c r="BY68" s="35">
        <v>7.4297272489999999</v>
      </c>
      <c r="CB68" t="s">
        <v>268</v>
      </c>
      <c r="CD68" t="s">
        <v>268</v>
      </c>
      <c r="CE68" t="s">
        <v>267</v>
      </c>
      <c r="CF68" t="s">
        <v>309</v>
      </c>
      <c r="CG68" t="s">
        <v>268</v>
      </c>
      <c r="CI68" t="s">
        <v>268</v>
      </c>
      <c r="CK68" s="30">
        <f t="shared" si="5"/>
        <v>2</v>
      </c>
      <c r="CL68">
        <f t="shared" si="6"/>
        <v>7</v>
      </c>
    </row>
    <row r="69" spans="1:90" hidden="1" x14ac:dyDescent="0.35">
      <c r="A69" t="s">
        <v>619</v>
      </c>
      <c r="B69" t="s">
        <v>468</v>
      </c>
      <c r="C69" t="s">
        <v>469</v>
      </c>
      <c r="D69" t="s">
        <v>979</v>
      </c>
      <c r="E69" t="s">
        <v>470</v>
      </c>
      <c r="F69">
        <v>2019</v>
      </c>
      <c r="G69" t="s">
        <v>175</v>
      </c>
      <c r="I69" t="s">
        <v>492</v>
      </c>
      <c r="K69" t="s">
        <v>178</v>
      </c>
      <c r="L69" t="s">
        <v>177</v>
      </c>
      <c r="M69" t="s">
        <v>721</v>
      </c>
      <c r="N69" t="s">
        <v>179</v>
      </c>
      <c r="O69" t="s">
        <v>190</v>
      </c>
      <c r="P69" t="s">
        <v>490</v>
      </c>
      <c r="Q69" t="s">
        <v>187</v>
      </c>
      <c r="R69" t="s">
        <v>489</v>
      </c>
      <c r="S69" t="s">
        <v>204</v>
      </c>
      <c r="U69" t="s">
        <v>1117</v>
      </c>
      <c r="V69" t="s">
        <v>268</v>
      </c>
      <c r="X69" t="s">
        <v>269</v>
      </c>
      <c r="AE69" t="s">
        <v>273</v>
      </c>
      <c r="AG69" t="s">
        <v>275</v>
      </c>
      <c r="AI69" t="s">
        <v>345</v>
      </c>
      <c r="AK69">
        <v>12</v>
      </c>
      <c r="AM69">
        <v>55</v>
      </c>
      <c r="AO69" t="s">
        <v>1106</v>
      </c>
      <c r="AP69" t="s">
        <v>281</v>
      </c>
      <c r="AQ69" t="s">
        <v>283</v>
      </c>
      <c r="AR69" t="s">
        <v>474</v>
      </c>
      <c r="AS69" t="s">
        <v>1094</v>
      </c>
      <c r="AT69" t="s">
        <v>313</v>
      </c>
      <c r="AU69" t="s">
        <v>191</v>
      </c>
      <c r="AV69" s="30">
        <v>1</v>
      </c>
      <c r="AW69" t="s">
        <v>287</v>
      </c>
      <c r="AX69">
        <v>65</v>
      </c>
      <c r="AZ69" t="s">
        <v>829</v>
      </c>
      <c r="BA69">
        <v>2</v>
      </c>
      <c r="BB69" t="s">
        <v>290</v>
      </c>
      <c r="BC69" t="s">
        <v>261</v>
      </c>
      <c r="BD69" t="s">
        <v>494</v>
      </c>
      <c r="BE69" t="s">
        <v>496</v>
      </c>
      <c r="BF69" t="s">
        <v>291</v>
      </c>
      <c r="BG69" t="s">
        <v>297</v>
      </c>
      <c r="BH69" t="s">
        <v>281</v>
      </c>
      <c r="BI69">
        <v>2</v>
      </c>
      <c r="BJ69" t="s">
        <v>498</v>
      </c>
      <c r="BK69" t="s">
        <v>501</v>
      </c>
      <c r="BL69" t="s">
        <v>479</v>
      </c>
      <c r="BM69" t="s">
        <v>942</v>
      </c>
      <c r="BN69" t="str">
        <f t="shared" si="4"/>
        <v>CGambient.noise_CGMozart</v>
      </c>
      <c r="BO69" t="s">
        <v>267</v>
      </c>
      <c r="BP69" t="s">
        <v>504</v>
      </c>
      <c r="BQ69">
        <v>10</v>
      </c>
      <c r="BR69">
        <v>10</v>
      </c>
      <c r="BS69" s="35">
        <v>93.25513196</v>
      </c>
      <c r="BT69" s="35">
        <v>3.5190615840000001</v>
      </c>
      <c r="BU69" s="35">
        <v>11.12824983</v>
      </c>
      <c r="BV69" s="35"/>
      <c r="BW69" s="35">
        <v>103.2258065</v>
      </c>
      <c r="BX69" s="35">
        <v>3.5190615840000001</v>
      </c>
      <c r="BY69" s="35">
        <v>11.12824983</v>
      </c>
      <c r="CB69" t="s">
        <v>268</v>
      </c>
      <c r="CD69" t="s">
        <v>268</v>
      </c>
      <c r="CE69" t="s">
        <v>267</v>
      </c>
      <c r="CF69" t="s">
        <v>309</v>
      </c>
      <c r="CG69" t="s">
        <v>268</v>
      </c>
      <c r="CI69" t="s">
        <v>268</v>
      </c>
      <c r="CK69" s="30">
        <f t="shared" si="5"/>
        <v>2</v>
      </c>
      <c r="CL69">
        <f t="shared" si="6"/>
        <v>7</v>
      </c>
    </row>
    <row r="70" spans="1:90" hidden="1" x14ac:dyDescent="0.35">
      <c r="A70" t="s">
        <v>620</v>
      </c>
      <c r="B70" t="s">
        <v>468</v>
      </c>
      <c r="C70" t="s">
        <v>469</v>
      </c>
      <c r="D70" t="s">
        <v>979</v>
      </c>
      <c r="E70" t="s">
        <v>470</v>
      </c>
      <c r="F70">
        <v>2019</v>
      </c>
      <c r="G70" t="s">
        <v>175</v>
      </c>
      <c r="I70" t="s">
        <v>493</v>
      </c>
      <c r="K70" t="s">
        <v>178</v>
      </c>
      <c r="L70" t="s">
        <v>177</v>
      </c>
      <c r="M70" t="s">
        <v>721</v>
      </c>
      <c r="N70" t="s">
        <v>179</v>
      </c>
      <c r="O70" t="s">
        <v>190</v>
      </c>
      <c r="P70" t="s">
        <v>490</v>
      </c>
      <c r="Q70" t="s">
        <v>187</v>
      </c>
      <c r="R70" t="s">
        <v>489</v>
      </c>
      <c r="S70" t="s">
        <v>204</v>
      </c>
      <c r="U70" t="s">
        <v>1117</v>
      </c>
      <c r="V70" t="s">
        <v>268</v>
      </c>
      <c r="X70" t="s">
        <v>269</v>
      </c>
      <c r="AE70" t="s">
        <v>273</v>
      </c>
      <c r="AG70" t="s">
        <v>275</v>
      </c>
      <c r="AI70" t="s">
        <v>345</v>
      </c>
      <c r="AK70">
        <v>12</v>
      </c>
      <c r="AM70">
        <v>55</v>
      </c>
      <c r="AO70" t="s">
        <v>1106</v>
      </c>
      <c r="AP70" t="s">
        <v>281</v>
      </c>
      <c r="AQ70" t="s">
        <v>283</v>
      </c>
      <c r="AR70" t="s">
        <v>474</v>
      </c>
      <c r="AS70" t="s">
        <v>1094</v>
      </c>
      <c r="AT70" t="s">
        <v>313</v>
      </c>
      <c r="AU70" t="s">
        <v>191</v>
      </c>
      <c r="AV70" s="30">
        <v>1</v>
      </c>
      <c r="AW70" t="s">
        <v>287</v>
      </c>
      <c r="AX70">
        <v>65</v>
      </c>
      <c r="AZ70" t="s">
        <v>829</v>
      </c>
      <c r="BA70">
        <v>2</v>
      </c>
      <c r="BB70" t="s">
        <v>290</v>
      </c>
      <c r="BC70" t="s">
        <v>261</v>
      </c>
      <c r="BD70" t="s">
        <v>494</v>
      </c>
      <c r="BE70" t="s">
        <v>497</v>
      </c>
      <c r="BF70" t="s">
        <v>291</v>
      </c>
      <c r="BG70" t="s">
        <v>297</v>
      </c>
      <c r="BH70" t="s">
        <v>281</v>
      </c>
      <c r="BI70">
        <v>2</v>
      </c>
      <c r="BJ70" t="s">
        <v>498</v>
      </c>
      <c r="BK70" t="s">
        <v>502</v>
      </c>
      <c r="BL70" t="s">
        <v>479</v>
      </c>
      <c r="BM70" t="s">
        <v>942</v>
      </c>
      <c r="BN70" t="str">
        <f t="shared" si="4"/>
        <v>CGambient.noise_CGMozart</v>
      </c>
      <c r="BO70" t="s">
        <v>267</v>
      </c>
      <c r="BP70" t="s">
        <v>504</v>
      </c>
      <c r="BQ70">
        <v>10</v>
      </c>
      <c r="BR70">
        <v>10</v>
      </c>
      <c r="BS70" s="35">
        <v>69.850746270000002</v>
      </c>
      <c r="BT70" s="35">
        <v>2.9850746269999999</v>
      </c>
      <c r="BU70" s="35">
        <v>9.4396348060000008</v>
      </c>
      <c r="BV70" s="35"/>
      <c r="BW70" s="35">
        <v>72.835820900000002</v>
      </c>
      <c r="BX70" s="35">
        <v>2.9850746269999999</v>
      </c>
      <c r="BY70" s="35">
        <v>9.4396348060000008</v>
      </c>
      <c r="CB70" t="s">
        <v>268</v>
      </c>
      <c r="CD70" t="s">
        <v>268</v>
      </c>
      <c r="CE70" t="s">
        <v>267</v>
      </c>
      <c r="CF70" t="s">
        <v>309</v>
      </c>
      <c r="CG70" t="s">
        <v>268</v>
      </c>
      <c r="CI70" t="s">
        <v>268</v>
      </c>
      <c r="CK70" s="30">
        <f t="shared" si="5"/>
        <v>2</v>
      </c>
      <c r="CL70">
        <f t="shared" si="6"/>
        <v>7</v>
      </c>
    </row>
    <row r="71" spans="1:90" hidden="1" x14ac:dyDescent="0.35">
      <c r="A71" t="s">
        <v>621</v>
      </c>
      <c r="B71" t="s">
        <v>468</v>
      </c>
      <c r="C71" t="s">
        <v>469</v>
      </c>
      <c r="D71" t="s">
        <v>979</v>
      </c>
      <c r="E71" t="s">
        <v>470</v>
      </c>
      <c r="F71">
        <v>2019</v>
      </c>
      <c r="G71" t="s">
        <v>344</v>
      </c>
      <c r="I71" t="s">
        <v>335</v>
      </c>
      <c r="K71" t="s">
        <v>178</v>
      </c>
      <c r="L71" t="s">
        <v>177</v>
      </c>
      <c r="M71" t="s">
        <v>721</v>
      </c>
      <c r="N71" t="s">
        <v>179</v>
      </c>
      <c r="O71" t="s">
        <v>190</v>
      </c>
      <c r="P71" t="s">
        <v>490</v>
      </c>
      <c r="Q71" t="s">
        <v>187</v>
      </c>
      <c r="R71" t="s">
        <v>489</v>
      </c>
      <c r="S71" t="s">
        <v>204</v>
      </c>
      <c r="U71" t="s">
        <v>1117</v>
      </c>
      <c r="V71" t="s">
        <v>267</v>
      </c>
      <c r="W71" t="s">
        <v>473</v>
      </c>
      <c r="X71" t="s">
        <v>270</v>
      </c>
      <c r="Y71" t="s">
        <v>230</v>
      </c>
      <c r="AA71" t="s">
        <v>190</v>
      </c>
      <c r="AB71" t="s">
        <v>478</v>
      </c>
      <c r="AC71">
        <v>12</v>
      </c>
      <c r="AE71" t="s">
        <v>273</v>
      </c>
      <c r="AG71" t="s">
        <v>275</v>
      </c>
      <c r="AI71" t="s">
        <v>345</v>
      </c>
      <c r="AK71">
        <v>12</v>
      </c>
      <c r="AM71">
        <v>55</v>
      </c>
      <c r="AO71" t="s">
        <v>1106</v>
      </c>
      <c r="AP71" t="s">
        <v>281</v>
      </c>
      <c r="AQ71" t="s">
        <v>283</v>
      </c>
      <c r="AR71" t="s">
        <v>474</v>
      </c>
      <c r="AS71" t="s">
        <v>1094</v>
      </c>
      <c r="AT71" t="s">
        <v>313</v>
      </c>
      <c r="AU71" t="s">
        <v>191</v>
      </c>
      <c r="AV71" s="30">
        <v>1</v>
      </c>
      <c r="AW71" t="s">
        <v>287</v>
      </c>
      <c r="AX71">
        <v>65</v>
      </c>
      <c r="AZ71" t="s">
        <v>829</v>
      </c>
      <c r="BA71">
        <v>2</v>
      </c>
      <c r="BB71" t="s">
        <v>290</v>
      </c>
      <c r="BC71" t="s">
        <v>261</v>
      </c>
      <c r="BD71" t="s">
        <v>494</v>
      </c>
      <c r="BE71" t="s">
        <v>559</v>
      </c>
      <c r="BF71" t="s">
        <v>291</v>
      </c>
      <c r="BG71" t="s">
        <v>297</v>
      </c>
      <c r="BH71" t="s">
        <v>281</v>
      </c>
      <c r="BI71">
        <v>2</v>
      </c>
      <c r="BJ71" t="s">
        <v>498</v>
      </c>
      <c r="BK71" t="s">
        <v>499</v>
      </c>
      <c r="BL71" t="s">
        <v>480</v>
      </c>
      <c r="BM71" t="s">
        <v>943</v>
      </c>
      <c r="BN71" t="str">
        <f t="shared" si="4"/>
        <v>MSambient.noise_MSMozart</v>
      </c>
      <c r="BO71" t="s">
        <v>268</v>
      </c>
      <c r="BP71" t="s">
        <v>503</v>
      </c>
      <c r="BQ71">
        <v>11</v>
      </c>
      <c r="BR71">
        <v>11</v>
      </c>
      <c r="BS71" s="35">
        <v>204.49775109999999</v>
      </c>
      <c r="BT71" s="35">
        <v>5.9970014989999996</v>
      </c>
      <c r="BU71" s="35">
        <v>19.889803839999999</v>
      </c>
      <c r="BV71" s="35"/>
      <c r="BW71" s="35">
        <v>148.12593699999999</v>
      </c>
      <c r="BX71" s="35">
        <v>4.1979010490000004</v>
      </c>
      <c r="BY71" s="35">
        <v>13.922862690000001</v>
      </c>
      <c r="CB71" t="s">
        <v>268</v>
      </c>
      <c r="CD71" t="s">
        <v>268</v>
      </c>
      <c r="CE71" t="s">
        <v>267</v>
      </c>
      <c r="CF71" t="s">
        <v>309</v>
      </c>
      <c r="CG71" t="s">
        <v>268</v>
      </c>
      <c r="CI71" t="s">
        <v>268</v>
      </c>
      <c r="CK71" s="30">
        <f t="shared" si="5"/>
        <v>2</v>
      </c>
      <c r="CL71">
        <f t="shared" si="6"/>
        <v>7</v>
      </c>
    </row>
    <row r="72" spans="1:90" hidden="1" x14ac:dyDescent="0.35">
      <c r="A72" t="s">
        <v>622</v>
      </c>
      <c r="B72" t="s">
        <v>468</v>
      </c>
      <c r="C72" t="s">
        <v>469</v>
      </c>
      <c r="D72" t="s">
        <v>979</v>
      </c>
      <c r="E72" t="s">
        <v>470</v>
      </c>
      <c r="F72">
        <v>2019</v>
      </c>
      <c r="G72" t="s">
        <v>344</v>
      </c>
      <c r="I72" t="s">
        <v>491</v>
      </c>
      <c r="K72" t="s">
        <v>178</v>
      </c>
      <c r="L72" t="s">
        <v>177</v>
      </c>
      <c r="M72" t="s">
        <v>721</v>
      </c>
      <c r="N72" t="s">
        <v>179</v>
      </c>
      <c r="O72" t="s">
        <v>190</v>
      </c>
      <c r="P72" t="s">
        <v>490</v>
      </c>
      <c r="Q72" t="s">
        <v>187</v>
      </c>
      <c r="R72" t="s">
        <v>489</v>
      </c>
      <c r="S72" t="s">
        <v>204</v>
      </c>
      <c r="U72" t="s">
        <v>1117</v>
      </c>
      <c r="V72" t="s">
        <v>267</v>
      </c>
      <c r="W72" t="s">
        <v>473</v>
      </c>
      <c r="X72" t="s">
        <v>270</v>
      </c>
      <c r="Y72" t="s">
        <v>230</v>
      </c>
      <c r="AA72" t="s">
        <v>190</v>
      </c>
      <c r="AB72" t="s">
        <v>478</v>
      </c>
      <c r="AC72">
        <v>12</v>
      </c>
      <c r="AE72" t="s">
        <v>273</v>
      </c>
      <c r="AG72" t="s">
        <v>275</v>
      </c>
      <c r="AI72" t="s">
        <v>345</v>
      </c>
      <c r="AK72">
        <v>12</v>
      </c>
      <c r="AM72">
        <v>55</v>
      </c>
      <c r="AO72" t="s">
        <v>1106</v>
      </c>
      <c r="AP72" t="s">
        <v>281</v>
      </c>
      <c r="AQ72" t="s">
        <v>283</v>
      </c>
      <c r="AR72" t="s">
        <v>474</v>
      </c>
      <c r="AS72" t="s">
        <v>1094</v>
      </c>
      <c r="AT72" t="s">
        <v>313</v>
      </c>
      <c r="AU72" t="s">
        <v>191</v>
      </c>
      <c r="AV72" s="30">
        <v>1</v>
      </c>
      <c r="AW72" t="s">
        <v>287</v>
      </c>
      <c r="AX72">
        <v>65</v>
      </c>
      <c r="AZ72" t="s">
        <v>829</v>
      </c>
      <c r="BA72">
        <v>2</v>
      </c>
      <c r="BB72" t="s">
        <v>290</v>
      </c>
      <c r="BC72" t="s">
        <v>261</v>
      </c>
      <c r="BD72" t="s">
        <v>494</v>
      </c>
      <c r="BE72" t="s">
        <v>495</v>
      </c>
      <c r="BF72" t="s">
        <v>291</v>
      </c>
      <c r="BG72" t="s">
        <v>297</v>
      </c>
      <c r="BH72" t="s">
        <v>281</v>
      </c>
      <c r="BI72">
        <v>2</v>
      </c>
      <c r="BJ72" t="s">
        <v>498</v>
      </c>
      <c r="BK72" t="s">
        <v>500</v>
      </c>
      <c r="BL72" t="s">
        <v>480</v>
      </c>
      <c r="BM72" t="s">
        <v>943</v>
      </c>
      <c r="BN72" t="str">
        <f t="shared" si="4"/>
        <v>MSambient.noise_MSMozart</v>
      </c>
      <c r="BO72" t="s">
        <v>267</v>
      </c>
      <c r="BP72" t="s">
        <v>503</v>
      </c>
      <c r="BQ72">
        <v>11</v>
      </c>
      <c r="BR72">
        <v>11</v>
      </c>
      <c r="BS72" s="35">
        <v>94.566813510000003</v>
      </c>
      <c r="BT72" s="35">
        <v>5.8737151250000004</v>
      </c>
      <c r="BU72" s="35">
        <v>19.480909189999998</v>
      </c>
      <c r="BV72" s="35"/>
      <c r="BW72" s="35">
        <v>152.12922169999999</v>
      </c>
      <c r="BX72" s="35">
        <v>4.1116005869999999</v>
      </c>
      <c r="BY72" s="35">
        <v>13.63663644</v>
      </c>
      <c r="CB72" t="s">
        <v>268</v>
      </c>
      <c r="CD72" t="s">
        <v>268</v>
      </c>
      <c r="CE72" t="s">
        <v>267</v>
      </c>
      <c r="CF72" t="s">
        <v>309</v>
      </c>
      <c r="CG72" t="s">
        <v>268</v>
      </c>
      <c r="CI72" t="s">
        <v>268</v>
      </c>
      <c r="CK72" s="30">
        <f t="shared" si="5"/>
        <v>2</v>
      </c>
      <c r="CL72">
        <f t="shared" si="6"/>
        <v>7</v>
      </c>
    </row>
    <row r="73" spans="1:90" hidden="1" x14ac:dyDescent="0.35">
      <c r="A73" t="s">
        <v>623</v>
      </c>
      <c r="B73" t="s">
        <v>468</v>
      </c>
      <c r="C73" t="s">
        <v>469</v>
      </c>
      <c r="D73" t="s">
        <v>979</v>
      </c>
      <c r="E73" t="s">
        <v>470</v>
      </c>
      <c r="F73">
        <v>2019</v>
      </c>
      <c r="G73" t="s">
        <v>344</v>
      </c>
      <c r="I73" t="s">
        <v>492</v>
      </c>
      <c r="K73" t="s">
        <v>178</v>
      </c>
      <c r="L73" t="s">
        <v>177</v>
      </c>
      <c r="M73" t="s">
        <v>721</v>
      </c>
      <c r="N73" t="s">
        <v>179</v>
      </c>
      <c r="O73" t="s">
        <v>190</v>
      </c>
      <c r="P73" t="s">
        <v>490</v>
      </c>
      <c r="Q73" t="s">
        <v>187</v>
      </c>
      <c r="R73" t="s">
        <v>489</v>
      </c>
      <c r="S73" t="s">
        <v>204</v>
      </c>
      <c r="U73" t="s">
        <v>1117</v>
      </c>
      <c r="V73" t="s">
        <v>267</v>
      </c>
      <c r="W73" t="s">
        <v>473</v>
      </c>
      <c r="X73" t="s">
        <v>270</v>
      </c>
      <c r="Y73" t="s">
        <v>230</v>
      </c>
      <c r="AA73" t="s">
        <v>190</v>
      </c>
      <c r="AB73" t="s">
        <v>478</v>
      </c>
      <c r="AC73">
        <v>12</v>
      </c>
      <c r="AE73" t="s">
        <v>273</v>
      </c>
      <c r="AG73" t="s">
        <v>275</v>
      </c>
      <c r="AI73" t="s">
        <v>345</v>
      </c>
      <c r="AK73">
        <v>12</v>
      </c>
      <c r="AM73">
        <v>55</v>
      </c>
      <c r="AO73" t="s">
        <v>1106</v>
      </c>
      <c r="AP73" t="s">
        <v>281</v>
      </c>
      <c r="AQ73" t="s">
        <v>283</v>
      </c>
      <c r="AR73" t="s">
        <v>474</v>
      </c>
      <c r="AS73" t="s">
        <v>1094</v>
      </c>
      <c r="AT73" t="s">
        <v>313</v>
      </c>
      <c r="AU73" t="s">
        <v>191</v>
      </c>
      <c r="AV73" s="30">
        <v>1</v>
      </c>
      <c r="AW73" t="s">
        <v>287</v>
      </c>
      <c r="AX73">
        <v>65</v>
      </c>
      <c r="AZ73" t="s">
        <v>829</v>
      </c>
      <c r="BA73">
        <v>2</v>
      </c>
      <c r="BB73" t="s">
        <v>290</v>
      </c>
      <c r="BC73" t="s">
        <v>261</v>
      </c>
      <c r="BD73" t="s">
        <v>494</v>
      </c>
      <c r="BE73" t="s">
        <v>496</v>
      </c>
      <c r="BF73" t="s">
        <v>291</v>
      </c>
      <c r="BG73" t="s">
        <v>297</v>
      </c>
      <c r="BH73" t="s">
        <v>281</v>
      </c>
      <c r="BI73">
        <v>2</v>
      </c>
      <c r="BJ73" t="s">
        <v>498</v>
      </c>
      <c r="BK73" t="s">
        <v>501</v>
      </c>
      <c r="BL73" t="s">
        <v>480</v>
      </c>
      <c r="BM73" t="s">
        <v>943</v>
      </c>
      <c r="BN73" t="str">
        <f t="shared" si="4"/>
        <v>MSambient.noise_MSMozart</v>
      </c>
      <c r="BO73" t="s">
        <v>267</v>
      </c>
      <c r="BP73" t="s">
        <v>504</v>
      </c>
      <c r="BQ73">
        <v>11</v>
      </c>
      <c r="BR73">
        <v>11</v>
      </c>
      <c r="BS73" s="35">
        <v>60.410557179999998</v>
      </c>
      <c r="BT73" s="35">
        <v>2.3460410559999998</v>
      </c>
      <c r="BU73" s="35">
        <v>7.7809379249999999</v>
      </c>
      <c r="BV73" s="35"/>
      <c r="BW73" s="35">
        <v>89.736070380000001</v>
      </c>
      <c r="BX73" s="35">
        <v>1.7595307920000001</v>
      </c>
      <c r="BY73" s="35">
        <v>5.8357034429999999</v>
      </c>
      <c r="CB73" t="s">
        <v>268</v>
      </c>
      <c r="CD73" t="s">
        <v>268</v>
      </c>
      <c r="CE73" t="s">
        <v>267</v>
      </c>
      <c r="CF73" t="s">
        <v>309</v>
      </c>
      <c r="CG73" t="s">
        <v>268</v>
      </c>
      <c r="CI73" t="s">
        <v>268</v>
      </c>
      <c r="CK73" s="30">
        <f t="shared" si="5"/>
        <v>2</v>
      </c>
      <c r="CL73">
        <f t="shared" si="6"/>
        <v>7</v>
      </c>
    </row>
    <row r="74" spans="1:90" hidden="1" x14ac:dyDescent="0.35">
      <c r="A74" t="s">
        <v>624</v>
      </c>
      <c r="B74" t="s">
        <v>468</v>
      </c>
      <c r="C74" t="s">
        <v>469</v>
      </c>
      <c r="D74" t="s">
        <v>979</v>
      </c>
      <c r="E74" t="s">
        <v>470</v>
      </c>
      <c r="F74">
        <v>2019</v>
      </c>
      <c r="G74" t="s">
        <v>344</v>
      </c>
      <c r="I74" t="s">
        <v>493</v>
      </c>
      <c r="K74" t="s">
        <v>178</v>
      </c>
      <c r="L74" t="s">
        <v>177</v>
      </c>
      <c r="M74" t="s">
        <v>721</v>
      </c>
      <c r="N74" t="s">
        <v>179</v>
      </c>
      <c r="O74" t="s">
        <v>190</v>
      </c>
      <c r="P74" t="s">
        <v>490</v>
      </c>
      <c r="Q74" t="s">
        <v>187</v>
      </c>
      <c r="R74" t="s">
        <v>489</v>
      </c>
      <c r="S74" t="s">
        <v>204</v>
      </c>
      <c r="U74" t="s">
        <v>1117</v>
      </c>
      <c r="V74" t="s">
        <v>267</v>
      </c>
      <c r="W74" t="s">
        <v>473</v>
      </c>
      <c r="X74" t="s">
        <v>270</v>
      </c>
      <c r="Y74" t="s">
        <v>230</v>
      </c>
      <c r="AA74" t="s">
        <v>190</v>
      </c>
      <c r="AB74" t="s">
        <v>478</v>
      </c>
      <c r="AC74">
        <v>12</v>
      </c>
      <c r="AE74" t="s">
        <v>273</v>
      </c>
      <c r="AG74" t="s">
        <v>275</v>
      </c>
      <c r="AI74" t="s">
        <v>345</v>
      </c>
      <c r="AK74">
        <v>12</v>
      </c>
      <c r="AM74">
        <v>55</v>
      </c>
      <c r="AO74" t="s">
        <v>1106</v>
      </c>
      <c r="AP74" t="s">
        <v>281</v>
      </c>
      <c r="AQ74" t="s">
        <v>283</v>
      </c>
      <c r="AR74" t="s">
        <v>474</v>
      </c>
      <c r="AS74" t="s">
        <v>1094</v>
      </c>
      <c r="AT74" t="s">
        <v>313</v>
      </c>
      <c r="AU74" t="s">
        <v>191</v>
      </c>
      <c r="AV74" s="30">
        <v>1</v>
      </c>
      <c r="AW74" t="s">
        <v>287</v>
      </c>
      <c r="AX74">
        <v>65</v>
      </c>
      <c r="AZ74" t="s">
        <v>829</v>
      </c>
      <c r="BA74">
        <v>2</v>
      </c>
      <c r="BB74" t="s">
        <v>290</v>
      </c>
      <c r="BC74" t="s">
        <v>261</v>
      </c>
      <c r="BD74" t="s">
        <v>494</v>
      </c>
      <c r="BE74" t="s">
        <v>497</v>
      </c>
      <c r="BF74" t="s">
        <v>291</v>
      </c>
      <c r="BG74" t="s">
        <v>297</v>
      </c>
      <c r="BH74" t="s">
        <v>281</v>
      </c>
      <c r="BI74">
        <v>2</v>
      </c>
      <c r="BJ74" t="s">
        <v>498</v>
      </c>
      <c r="BK74" t="s">
        <v>502</v>
      </c>
      <c r="BL74" t="s">
        <v>480</v>
      </c>
      <c r="BM74" t="s">
        <v>943</v>
      </c>
      <c r="BN74" t="str">
        <f t="shared" si="4"/>
        <v>MSambient.noise_MSMozart</v>
      </c>
      <c r="BO74" t="s">
        <v>267</v>
      </c>
      <c r="BP74" t="s">
        <v>504</v>
      </c>
      <c r="BQ74">
        <v>11</v>
      </c>
      <c r="BR74">
        <v>11</v>
      </c>
      <c r="BS74" s="35">
        <v>34.626865670000001</v>
      </c>
      <c r="BT74" s="35">
        <v>4.1791044780000002</v>
      </c>
      <c r="BU74" s="35">
        <v>13.86052151</v>
      </c>
      <c r="BV74" s="35"/>
      <c r="BW74" s="35">
        <v>61.492537310000003</v>
      </c>
      <c r="BX74" s="35">
        <v>4.1791044780000002</v>
      </c>
      <c r="BY74" s="35">
        <v>13.86052151</v>
      </c>
      <c r="CB74" t="s">
        <v>268</v>
      </c>
      <c r="CD74" t="s">
        <v>268</v>
      </c>
      <c r="CE74" t="s">
        <v>267</v>
      </c>
      <c r="CF74" t="s">
        <v>309</v>
      </c>
      <c r="CG74" t="s">
        <v>268</v>
      </c>
      <c r="CI74" t="s">
        <v>268</v>
      </c>
      <c r="CK74" s="30">
        <f t="shared" si="5"/>
        <v>2</v>
      </c>
      <c r="CL74">
        <f t="shared" si="6"/>
        <v>7</v>
      </c>
    </row>
    <row r="75" spans="1:90" hidden="1" x14ac:dyDescent="0.35">
      <c r="A75" t="s">
        <v>625</v>
      </c>
      <c r="B75" t="s">
        <v>505</v>
      </c>
      <c r="C75" t="s">
        <v>506</v>
      </c>
      <c r="D75" t="s">
        <v>507</v>
      </c>
      <c r="E75" t="s">
        <v>508</v>
      </c>
      <c r="F75">
        <v>2023</v>
      </c>
      <c r="G75" t="s">
        <v>175</v>
      </c>
      <c r="I75" t="s">
        <v>176</v>
      </c>
      <c r="K75" t="s">
        <v>180</v>
      </c>
      <c r="L75" t="s">
        <v>181</v>
      </c>
      <c r="M75" t="s">
        <v>509</v>
      </c>
      <c r="N75" t="s">
        <v>179</v>
      </c>
      <c r="O75" t="s">
        <v>187</v>
      </c>
      <c r="P75" t="s">
        <v>510</v>
      </c>
      <c r="Q75" t="s">
        <v>187</v>
      </c>
      <c r="S75" t="s">
        <v>204</v>
      </c>
      <c r="U75" t="s">
        <v>1117</v>
      </c>
      <c r="V75" t="s">
        <v>268</v>
      </c>
      <c r="X75" t="s">
        <v>269</v>
      </c>
      <c r="AE75" t="s">
        <v>273</v>
      </c>
      <c r="AG75" t="s">
        <v>275</v>
      </c>
      <c r="AI75" t="s">
        <v>345</v>
      </c>
      <c r="AK75">
        <v>1.5</v>
      </c>
      <c r="AM75">
        <v>28</v>
      </c>
      <c r="AO75" t="s">
        <v>1105</v>
      </c>
      <c r="AP75" t="s">
        <v>282</v>
      </c>
      <c r="AQ75" t="s">
        <v>285</v>
      </c>
      <c r="AR75" t="s">
        <v>511</v>
      </c>
      <c r="AS75" t="s">
        <v>190</v>
      </c>
      <c r="AT75" t="s">
        <v>191</v>
      </c>
      <c r="AU75" t="s">
        <v>512</v>
      </c>
      <c r="AV75" s="30">
        <v>1</v>
      </c>
      <c r="AW75" t="s">
        <v>287</v>
      </c>
      <c r="AX75" t="s">
        <v>191</v>
      </c>
      <c r="AZ75" t="s">
        <v>829</v>
      </c>
      <c r="BA75">
        <v>0</v>
      </c>
      <c r="BB75" t="s">
        <v>289</v>
      </c>
      <c r="BC75" t="s">
        <v>243</v>
      </c>
      <c r="BE75" t="s">
        <v>398</v>
      </c>
      <c r="BF75" t="s">
        <v>291</v>
      </c>
      <c r="BG75" t="s">
        <v>297</v>
      </c>
      <c r="BH75" t="s">
        <v>281</v>
      </c>
      <c r="BI75">
        <v>2</v>
      </c>
      <c r="BJ75" t="s">
        <v>370</v>
      </c>
      <c r="BK75" t="s">
        <v>570</v>
      </c>
      <c r="BL75" t="s">
        <v>414</v>
      </c>
      <c r="BM75" t="s">
        <v>415</v>
      </c>
      <c r="BN75" t="str">
        <f t="shared" si="4"/>
        <v>control_music</v>
      </c>
      <c r="BO75" t="s">
        <v>267</v>
      </c>
      <c r="BQ75">
        <v>6</v>
      </c>
      <c r="BR75">
        <v>6</v>
      </c>
      <c r="BS75" s="35">
        <v>2.38267148</v>
      </c>
      <c r="BT75" s="35">
        <v>0.60649819500000002</v>
      </c>
      <c r="BU75" s="35">
        <v>1.4856111080000001</v>
      </c>
      <c r="BV75" s="35"/>
      <c r="BW75" s="35">
        <v>2.4801444039999998</v>
      </c>
      <c r="BX75" s="35">
        <v>0.72563176900000004</v>
      </c>
      <c r="BY75" s="35">
        <v>1.7774275749999999</v>
      </c>
      <c r="CB75" t="s">
        <v>268</v>
      </c>
      <c r="CD75" t="s">
        <v>267</v>
      </c>
      <c r="CE75" t="s">
        <v>191</v>
      </c>
      <c r="CF75" t="s">
        <v>309</v>
      </c>
      <c r="CG75" t="s">
        <v>268</v>
      </c>
      <c r="CI75" t="s">
        <v>267</v>
      </c>
      <c r="CJ75" t="s">
        <v>517</v>
      </c>
      <c r="CK75" s="30">
        <f t="shared" si="5"/>
        <v>1</v>
      </c>
      <c r="CL75">
        <f t="shared" si="6"/>
        <v>4</v>
      </c>
    </row>
    <row r="76" spans="1:90" hidden="1" x14ac:dyDescent="0.35">
      <c r="A76" t="s">
        <v>626</v>
      </c>
      <c r="B76" t="s">
        <v>505</v>
      </c>
      <c r="C76" t="s">
        <v>506</v>
      </c>
      <c r="D76" t="s">
        <v>507</v>
      </c>
      <c r="E76" t="s">
        <v>508</v>
      </c>
      <c r="F76">
        <v>2023</v>
      </c>
      <c r="G76" t="s">
        <v>175</v>
      </c>
      <c r="I76" t="s">
        <v>331</v>
      </c>
      <c r="K76" t="s">
        <v>180</v>
      </c>
      <c r="L76" t="s">
        <v>181</v>
      </c>
      <c r="M76" t="s">
        <v>509</v>
      </c>
      <c r="N76" t="s">
        <v>179</v>
      </c>
      <c r="O76" t="s">
        <v>187</v>
      </c>
      <c r="P76" t="s">
        <v>510</v>
      </c>
      <c r="Q76" t="s">
        <v>187</v>
      </c>
      <c r="S76" t="s">
        <v>204</v>
      </c>
      <c r="U76" t="s">
        <v>1117</v>
      </c>
      <c r="V76" t="s">
        <v>268</v>
      </c>
      <c r="X76" t="s">
        <v>269</v>
      </c>
      <c r="AE76" t="s">
        <v>273</v>
      </c>
      <c r="AG76" t="s">
        <v>275</v>
      </c>
      <c r="AI76" t="s">
        <v>345</v>
      </c>
      <c r="AK76">
        <v>1.5</v>
      </c>
      <c r="AM76">
        <v>28</v>
      </c>
      <c r="AO76" t="s">
        <v>1105</v>
      </c>
      <c r="AP76" t="s">
        <v>282</v>
      </c>
      <c r="AQ76" t="s">
        <v>285</v>
      </c>
      <c r="AR76" t="s">
        <v>511</v>
      </c>
      <c r="AS76" t="s">
        <v>190</v>
      </c>
      <c r="AT76" t="s">
        <v>191</v>
      </c>
      <c r="AU76" t="s">
        <v>513</v>
      </c>
      <c r="AV76" s="30">
        <v>1</v>
      </c>
      <c r="AW76" t="s">
        <v>287</v>
      </c>
      <c r="AX76" t="s">
        <v>191</v>
      </c>
      <c r="AZ76" t="s">
        <v>829</v>
      </c>
      <c r="BA76">
        <v>0</v>
      </c>
      <c r="BB76" t="s">
        <v>289</v>
      </c>
      <c r="BC76" t="s">
        <v>243</v>
      </c>
      <c r="BE76" t="s">
        <v>434</v>
      </c>
      <c r="BF76" t="s">
        <v>293</v>
      </c>
      <c r="BG76" t="s">
        <v>516</v>
      </c>
      <c r="BH76" t="s">
        <v>281</v>
      </c>
      <c r="BI76">
        <v>2</v>
      </c>
      <c r="BJ76" t="s">
        <v>370</v>
      </c>
      <c r="BK76" t="s">
        <v>571</v>
      </c>
      <c r="BL76" t="s">
        <v>414</v>
      </c>
      <c r="BM76" t="s">
        <v>415</v>
      </c>
      <c r="BN76" t="str">
        <f t="shared" si="4"/>
        <v>control_music</v>
      </c>
      <c r="BO76" t="s">
        <v>267</v>
      </c>
      <c r="BQ76">
        <v>6</v>
      </c>
      <c r="BR76">
        <v>6</v>
      </c>
      <c r="BS76" s="35">
        <v>21252.336449999999</v>
      </c>
      <c r="BT76" s="35">
        <v>1626.168224</v>
      </c>
      <c r="BU76" s="35">
        <v>3983.282385</v>
      </c>
      <c r="BV76" s="35"/>
      <c r="BW76" s="35">
        <v>21364.485980000001</v>
      </c>
      <c r="BX76" s="35">
        <v>1401.8691590000001</v>
      </c>
      <c r="BY76" s="35">
        <v>3433.8641250000001</v>
      </c>
      <c r="CB76" t="s">
        <v>268</v>
      </c>
      <c r="CD76" t="s">
        <v>267</v>
      </c>
      <c r="CE76" t="s">
        <v>191</v>
      </c>
      <c r="CF76" t="s">
        <v>309</v>
      </c>
      <c r="CG76" t="s">
        <v>268</v>
      </c>
      <c r="CI76" t="s">
        <v>267</v>
      </c>
      <c r="CJ76" t="s">
        <v>517</v>
      </c>
      <c r="CK76" s="30">
        <f t="shared" si="5"/>
        <v>1</v>
      </c>
      <c r="CL76">
        <f t="shared" si="6"/>
        <v>4</v>
      </c>
    </row>
    <row r="77" spans="1:90" hidden="1" x14ac:dyDescent="0.35">
      <c r="A77" t="s">
        <v>627</v>
      </c>
      <c r="B77" t="s">
        <v>505</v>
      </c>
      <c r="C77" t="s">
        <v>506</v>
      </c>
      <c r="D77" t="s">
        <v>507</v>
      </c>
      <c r="E77" t="s">
        <v>508</v>
      </c>
      <c r="F77">
        <v>2023</v>
      </c>
      <c r="G77" t="s">
        <v>344</v>
      </c>
      <c r="I77" t="s">
        <v>176</v>
      </c>
      <c r="K77" t="s">
        <v>180</v>
      </c>
      <c r="L77" t="s">
        <v>181</v>
      </c>
      <c r="M77" t="s">
        <v>509</v>
      </c>
      <c r="N77" t="s">
        <v>179</v>
      </c>
      <c r="O77" t="s">
        <v>187</v>
      </c>
      <c r="P77" t="s">
        <v>510</v>
      </c>
      <c r="Q77" t="s">
        <v>187</v>
      </c>
      <c r="S77" t="s">
        <v>204</v>
      </c>
      <c r="U77" t="s">
        <v>1117</v>
      </c>
      <c r="V77" t="s">
        <v>267</v>
      </c>
      <c r="W77" t="s">
        <v>473</v>
      </c>
      <c r="X77" t="s">
        <v>270</v>
      </c>
      <c r="Y77" t="s">
        <v>230</v>
      </c>
      <c r="AA77" t="s">
        <v>187</v>
      </c>
      <c r="AC77">
        <v>28</v>
      </c>
      <c r="AE77" t="s">
        <v>273</v>
      </c>
      <c r="AG77" t="s">
        <v>275</v>
      </c>
      <c r="AI77" t="s">
        <v>345</v>
      </c>
      <c r="AK77">
        <v>1.5</v>
      </c>
      <c r="AM77">
        <v>28</v>
      </c>
      <c r="AO77" t="s">
        <v>1105</v>
      </c>
      <c r="AP77" t="s">
        <v>282</v>
      </c>
      <c r="AQ77" t="s">
        <v>285</v>
      </c>
      <c r="AR77" t="s">
        <v>511</v>
      </c>
      <c r="AS77" t="s">
        <v>190</v>
      </c>
      <c r="AT77" t="s">
        <v>191</v>
      </c>
      <c r="AU77" t="s">
        <v>514</v>
      </c>
      <c r="AV77" s="30">
        <v>1</v>
      </c>
      <c r="AW77" t="s">
        <v>287</v>
      </c>
      <c r="AX77" t="s">
        <v>191</v>
      </c>
      <c r="AZ77" t="s">
        <v>829</v>
      </c>
      <c r="BA77">
        <v>0</v>
      </c>
      <c r="BB77" t="s">
        <v>289</v>
      </c>
      <c r="BC77" t="s">
        <v>243</v>
      </c>
      <c r="BE77" t="s">
        <v>398</v>
      </c>
      <c r="BF77" t="s">
        <v>291</v>
      </c>
      <c r="BG77" t="s">
        <v>297</v>
      </c>
      <c r="BH77" t="s">
        <v>281</v>
      </c>
      <c r="BI77">
        <v>2</v>
      </c>
      <c r="BJ77" t="s">
        <v>370</v>
      </c>
      <c r="BK77" t="s">
        <v>570</v>
      </c>
      <c r="BL77" t="s">
        <v>319</v>
      </c>
      <c r="BM77" t="s">
        <v>318</v>
      </c>
      <c r="BN77" t="str">
        <f t="shared" si="4"/>
        <v>CUMS_CUMS+MUSIC</v>
      </c>
      <c r="BO77" t="s">
        <v>267</v>
      </c>
      <c r="BQ77">
        <v>10</v>
      </c>
      <c r="BR77">
        <v>14</v>
      </c>
      <c r="BS77" s="35">
        <v>1.2021660649999999</v>
      </c>
      <c r="BT77" s="35">
        <v>0.314079422</v>
      </c>
      <c r="BU77" s="35">
        <v>0.99320634100000005</v>
      </c>
      <c r="BV77" s="35"/>
      <c r="BW77" s="35">
        <v>3.249097473</v>
      </c>
      <c r="BX77" s="35">
        <v>0.30324909700000002</v>
      </c>
      <c r="BY77" s="35">
        <v>1.1346542260000001</v>
      </c>
      <c r="CB77" t="s">
        <v>268</v>
      </c>
      <c r="CD77" t="s">
        <v>267</v>
      </c>
      <c r="CE77" t="s">
        <v>191</v>
      </c>
      <c r="CF77" t="s">
        <v>309</v>
      </c>
      <c r="CG77" t="s">
        <v>268</v>
      </c>
      <c r="CI77" t="s">
        <v>267</v>
      </c>
      <c r="CJ77" t="s">
        <v>517</v>
      </c>
      <c r="CK77" s="30">
        <f t="shared" si="5"/>
        <v>1</v>
      </c>
      <c r="CL77">
        <f t="shared" si="6"/>
        <v>4</v>
      </c>
    </row>
    <row r="78" spans="1:90" hidden="1" x14ac:dyDescent="0.35">
      <c r="A78" t="s">
        <v>628</v>
      </c>
      <c r="B78" t="s">
        <v>505</v>
      </c>
      <c r="C78" t="s">
        <v>506</v>
      </c>
      <c r="D78" t="s">
        <v>507</v>
      </c>
      <c r="E78" t="s">
        <v>508</v>
      </c>
      <c r="F78">
        <v>2023</v>
      </c>
      <c r="G78" t="s">
        <v>344</v>
      </c>
      <c r="I78" t="s">
        <v>331</v>
      </c>
      <c r="K78" t="s">
        <v>180</v>
      </c>
      <c r="L78" t="s">
        <v>181</v>
      </c>
      <c r="M78" t="s">
        <v>509</v>
      </c>
      <c r="N78" t="s">
        <v>179</v>
      </c>
      <c r="O78" t="s">
        <v>187</v>
      </c>
      <c r="P78" t="s">
        <v>510</v>
      </c>
      <c r="Q78" t="s">
        <v>187</v>
      </c>
      <c r="S78" t="s">
        <v>204</v>
      </c>
      <c r="U78" t="s">
        <v>1117</v>
      </c>
      <c r="V78" t="s">
        <v>267</v>
      </c>
      <c r="W78" t="s">
        <v>473</v>
      </c>
      <c r="X78" t="s">
        <v>270</v>
      </c>
      <c r="Y78" t="s">
        <v>230</v>
      </c>
      <c r="AA78" t="s">
        <v>187</v>
      </c>
      <c r="AC78">
        <v>28</v>
      </c>
      <c r="AE78" t="s">
        <v>273</v>
      </c>
      <c r="AG78" t="s">
        <v>275</v>
      </c>
      <c r="AI78" t="s">
        <v>345</v>
      </c>
      <c r="AK78">
        <v>1.5</v>
      </c>
      <c r="AM78">
        <v>28</v>
      </c>
      <c r="AO78" t="s">
        <v>1105</v>
      </c>
      <c r="AP78" t="s">
        <v>282</v>
      </c>
      <c r="AQ78" t="s">
        <v>285</v>
      </c>
      <c r="AR78" t="s">
        <v>511</v>
      </c>
      <c r="AS78" t="s">
        <v>190</v>
      </c>
      <c r="AT78" t="s">
        <v>191</v>
      </c>
      <c r="AU78" t="s">
        <v>515</v>
      </c>
      <c r="AV78" s="30">
        <v>1</v>
      </c>
      <c r="AW78" t="s">
        <v>287</v>
      </c>
      <c r="AX78" t="s">
        <v>191</v>
      </c>
      <c r="AZ78" t="s">
        <v>829</v>
      </c>
      <c r="BA78">
        <v>0</v>
      </c>
      <c r="BB78" t="s">
        <v>289</v>
      </c>
      <c r="BC78" t="s">
        <v>243</v>
      </c>
      <c r="BE78" t="s">
        <v>434</v>
      </c>
      <c r="BF78" t="s">
        <v>293</v>
      </c>
      <c r="BG78" t="s">
        <v>516</v>
      </c>
      <c r="BH78" t="s">
        <v>281</v>
      </c>
      <c r="BI78">
        <v>2</v>
      </c>
      <c r="BJ78" t="s">
        <v>370</v>
      </c>
      <c r="BK78" t="s">
        <v>571</v>
      </c>
      <c r="BL78" t="s">
        <v>319</v>
      </c>
      <c r="BM78" t="s">
        <v>318</v>
      </c>
      <c r="BN78" t="str">
        <f t="shared" si="4"/>
        <v>CUMS_CUMS+MUSIC</v>
      </c>
      <c r="BO78" t="s">
        <v>267</v>
      </c>
      <c r="BQ78">
        <v>10</v>
      </c>
      <c r="BR78">
        <v>14</v>
      </c>
      <c r="BS78" s="35">
        <v>15196.26168</v>
      </c>
      <c r="BT78" s="35">
        <v>672.89719630000002</v>
      </c>
      <c r="BU78" s="35">
        <v>2127.8877710000002</v>
      </c>
      <c r="BV78" s="35"/>
      <c r="BW78" s="35">
        <v>18056.074769999999</v>
      </c>
      <c r="BX78" s="35">
        <v>336.44859810000003</v>
      </c>
      <c r="BY78" s="35">
        <v>1258.8753819999999</v>
      </c>
      <c r="CB78" t="s">
        <v>268</v>
      </c>
      <c r="CD78" t="s">
        <v>267</v>
      </c>
      <c r="CE78" t="s">
        <v>191</v>
      </c>
      <c r="CF78" t="s">
        <v>309</v>
      </c>
      <c r="CG78" t="s">
        <v>268</v>
      </c>
      <c r="CI78" t="s">
        <v>267</v>
      </c>
      <c r="CJ78" t="s">
        <v>517</v>
      </c>
      <c r="CK78" s="30">
        <f t="shared" si="5"/>
        <v>1</v>
      </c>
      <c r="CL78">
        <f t="shared" si="6"/>
        <v>4</v>
      </c>
    </row>
    <row r="79" spans="1:90" x14ac:dyDescent="0.35">
      <c r="A79" t="s">
        <v>629</v>
      </c>
      <c r="B79" t="s">
        <v>505</v>
      </c>
      <c r="C79" t="s">
        <v>506</v>
      </c>
      <c r="D79" t="s">
        <v>507</v>
      </c>
      <c r="E79" t="s">
        <v>508</v>
      </c>
      <c r="F79">
        <v>2023</v>
      </c>
      <c r="G79" t="s">
        <v>175</v>
      </c>
      <c r="I79" t="s">
        <v>332</v>
      </c>
      <c r="K79" t="s">
        <v>180</v>
      </c>
      <c r="L79" t="s">
        <v>181</v>
      </c>
      <c r="M79" t="s">
        <v>509</v>
      </c>
      <c r="N79" t="s">
        <v>179</v>
      </c>
      <c r="O79" t="s">
        <v>187</v>
      </c>
      <c r="P79" t="s">
        <v>510</v>
      </c>
      <c r="Q79" t="s">
        <v>187</v>
      </c>
      <c r="S79" t="s">
        <v>204</v>
      </c>
      <c r="U79" t="s">
        <v>1117</v>
      </c>
      <c r="V79" t="s">
        <v>268</v>
      </c>
      <c r="X79" t="s">
        <v>269</v>
      </c>
      <c r="AE79" t="s">
        <v>273</v>
      </c>
      <c r="AG79" t="s">
        <v>275</v>
      </c>
      <c r="AI79" t="s">
        <v>345</v>
      </c>
      <c r="AK79">
        <v>1.5</v>
      </c>
      <c r="AM79">
        <v>28</v>
      </c>
      <c r="AO79" t="s">
        <v>1105</v>
      </c>
      <c r="AP79" t="s">
        <v>282</v>
      </c>
      <c r="AQ79" t="s">
        <v>285</v>
      </c>
      <c r="AR79" t="s">
        <v>511</v>
      </c>
      <c r="AS79" t="s">
        <v>190</v>
      </c>
      <c r="AT79" t="s">
        <v>191</v>
      </c>
      <c r="AU79" t="s">
        <v>518</v>
      </c>
      <c r="AV79" s="30">
        <v>1</v>
      </c>
      <c r="AW79" t="s">
        <v>287</v>
      </c>
      <c r="AX79" t="s">
        <v>191</v>
      </c>
      <c r="AZ79" t="s">
        <v>829</v>
      </c>
      <c r="BA79">
        <v>0</v>
      </c>
      <c r="BB79" t="s">
        <v>279</v>
      </c>
      <c r="BC79" t="s">
        <v>250</v>
      </c>
      <c r="BE79" t="s">
        <v>450</v>
      </c>
      <c r="BF79" t="s">
        <v>291</v>
      </c>
      <c r="BG79" t="s">
        <v>297</v>
      </c>
      <c r="BH79" t="s">
        <v>281</v>
      </c>
      <c r="BI79">
        <v>2</v>
      </c>
      <c r="BJ79" t="s">
        <v>370</v>
      </c>
      <c r="BK79" t="s">
        <v>1079</v>
      </c>
      <c r="BL79" t="s">
        <v>414</v>
      </c>
      <c r="BM79" t="s">
        <v>415</v>
      </c>
      <c r="BN79" t="str">
        <f t="shared" si="4"/>
        <v>control_music</v>
      </c>
      <c r="BO79" t="s">
        <v>268</v>
      </c>
      <c r="BQ79">
        <v>6</v>
      </c>
      <c r="BR79">
        <v>6</v>
      </c>
      <c r="BS79" s="35">
        <v>44.705882350000003</v>
      </c>
      <c r="BT79" s="35">
        <v>14.117647059999999</v>
      </c>
      <c r="BU79" s="35">
        <v>34.581031660000001</v>
      </c>
      <c r="BV79" s="35"/>
      <c r="BW79" s="35">
        <v>35.966386550000003</v>
      </c>
      <c r="BX79" s="35">
        <v>8.7394957980000001</v>
      </c>
      <c r="BY79" s="35">
        <v>21.407305319999999</v>
      </c>
      <c r="CB79" t="s">
        <v>268</v>
      </c>
      <c r="CD79" t="s">
        <v>267</v>
      </c>
      <c r="CE79" t="s">
        <v>191</v>
      </c>
      <c r="CF79" t="s">
        <v>309</v>
      </c>
      <c r="CG79" t="s">
        <v>268</v>
      </c>
      <c r="CI79" t="s">
        <v>267</v>
      </c>
      <c r="CK79" s="30">
        <f t="shared" si="5"/>
        <v>1</v>
      </c>
      <c r="CL79">
        <f t="shared" si="6"/>
        <v>4</v>
      </c>
    </row>
    <row r="80" spans="1:90" x14ac:dyDescent="0.35">
      <c r="A80" t="s">
        <v>630</v>
      </c>
      <c r="B80" t="s">
        <v>505</v>
      </c>
      <c r="C80" t="s">
        <v>506</v>
      </c>
      <c r="D80" t="s">
        <v>507</v>
      </c>
      <c r="E80" t="s">
        <v>508</v>
      </c>
      <c r="F80">
        <v>2023</v>
      </c>
      <c r="G80" t="s">
        <v>344</v>
      </c>
      <c r="I80" t="s">
        <v>332</v>
      </c>
      <c r="K80" t="s">
        <v>180</v>
      </c>
      <c r="L80" t="s">
        <v>181</v>
      </c>
      <c r="M80" t="s">
        <v>509</v>
      </c>
      <c r="N80" t="s">
        <v>179</v>
      </c>
      <c r="O80" t="s">
        <v>187</v>
      </c>
      <c r="P80" t="s">
        <v>510</v>
      </c>
      <c r="Q80" t="s">
        <v>187</v>
      </c>
      <c r="S80" t="s">
        <v>204</v>
      </c>
      <c r="U80" t="s">
        <v>1117</v>
      </c>
      <c r="V80" t="s">
        <v>267</v>
      </c>
      <c r="W80" t="s">
        <v>473</v>
      </c>
      <c r="X80" t="s">
        <v>270</v>
      </c>
      <c r="Y80" t="s">
        <v>230</v>
      </c>
      <c r="AA80" t="s">
        <v>187</v>
      </c>
      <c r="AC80">
        <v>28</v>
      </c>
      <c r="AE80" t="s">
        <v>273</v>
      </c>
      <c r="AG80" t="s">
        <v>275</v>
      </c>
      <c r="AI80" t="s">
        <v>345</v>
      </c>
      <c r="AK80">
        <v>1.5</v>
      </c>
      <c r="AM80">
        <v>28</v>
      </c>
      <c r="AO80" t="s">
        <v>1105</v>
      </c>
      <c r="AP80" t="s">
        <v>282</v>
      </c>
      <c r="AQ80" t="s">
        <v>285</v>
      </c>
      <c r="AR80" t="s">
        <v>511</v>
      </c>
      <c r="AS80" t="s">
        <v>190</v>
      </c>
      <c r="AT80" t="s">
        <v>191</v>
      </c>
      <c r="AU80" t="s">
        <v>519</v>
      </c>
      <c r="AV80" s="30">
        <v>1</v>
      </c>
      <c r="AW80" t="s">
        <v>287</v>
      </c>
      <c r="AX80" t="s">
        <v>191</v>
      </c>
      <c r="AZ80" t="s">
        <v>829</v>
      </c>
      <c r="BA80">
        <v>0</v>
      </c>
      <c r="BB80" t="s">
        <v>279</v>
      </c>
      <c r="BC80" t="s">
        <v>250</v>
      </c>
      <c r="BE80" t="s">
        <v>450</v>
      </c>
      <c r="BF80" t="s">
        <v>291</v>
      </c>
      <c r="BG80" t="s">
        <v>297</v>
      </c>
      <c r="BH80" t="s">
        <v>281</v>
      </c>
      <c r="BI80">
        <v>2</v>
      </c>
      <c r="BJ80" t="s">
        <v>370</v>
      </c>
      <c r="BK80" t="s">
        <v>1079</v>
      </c>
      <c r="BL80" t="s">
        <v>319</v>
      </c>
      <c r="BM80" t="s">
        <v>318</v>
      </c>
      <c r="BN80" t="str">
        <f t="shared" si="4"/>
        <v>CUMS_CUMS+MUSIC</v>
      </c>
      <c r="BO80" t="s">
        <v>268</v>
      </c>
      <c r="BQ80">
        <v>10</v>
      </c>
      <c r="BR80">
        <v>14</v>
      </c>
      <c r="BS80" s="35">
        <v>98.823529410000006</v>
      </c>
      <c r="BT80" s="35">
        <v>9.0756302519999998</v>
      </c>
      <c r="BU80" s="35">
        <v>28.699662799999999</v>
      </c>
      <c r="BV80" s="35"/>
      <c r="BW80" s="35">
        <v>48.067226890000001</v>
      </c>
      <c r="BX80" s="35">
        <v>4.7058823529999998</v>
      </c>
      <c r="BY80" s="35">
        <v>17.60779947</v>
      </c>
      <c r="CB80" t="s">
        <v>268</v>
      </c>
      <c r="CD80" t="s">
        <v>267</v>
      </c>
      <c r="CE80" t="s">
        <v>191</v>
      </c>
      <c r="CF80" t="s">
        <v>309</v>
      </c>
      <c r="CG80" t="s">
        <v>268</v>
      </c>
      <c r="CI80" t="s">
        <v>267</v>
      </c>
      <c r="CK80" s="30">
        <f t="shared" si="5"/>
        <v>1</v>
      </c>
      <c r="CL80">
        <f t="shared" si="6"/>
        <v>4</v>
      </c>
    </row>
    <row r="81" spans="1:90" hidden="1" x14ac:dyDescent="0.35">
      <c r="A81" t="s">
        <v>631</v>
      </c>
      <c r="B81" t="s">
        <v>505</v>
      </c>
      <c r="C81" t="s">
        <v>506</v>
      </c>
      <c r="D81" t="s">
        <v>507</v>
      </c>
      <c r="E81" t="s">
        <v>508</v>
      </c>
      <c r="F81">
        <v>2023</v>
      </c>
      <c r="G81" t="s">
        <v>175</v>
      </c>
      <c r="I81" t="s">
        <v>333</v>
      </c>
      <c r="K81" t="s">
        <v>180</v>
      </c>
      <c r="L81" t="s">
        <v>181</v>
      </c>
      <c r="M81" t="s">
        <v>509</v>
      </c>
      <c r="N81" t="s">
        <v>179</v>
      </c>
      <c r="O81" t="s">
        <v>187</v>
      </c>
      <c r="P81" t="s">
        <v>510</v>
      </c>
      <c r="Q81" t="s">
        <v>187</v>
      </c>
      <c r="S81" t="s">
        <v>204</v>
      </c>
      <c r="U81" t="s">
        <v>1117</v>
      </c>
      <c r="V81" t="s">
        <v>268</v>
      </c>
      <c r="X81" t="s">
        <v>269</v>
      </c>
      <c r="AE81" t="s">
        <v>273</v>
      </c>
      <c r="AG81" t="s">
        <v>275</v>
      </c>
      <c r="AI81" t="s">
        <v>345</v>
      </c>
      <c r="AK81">
        <v>1.5</v>
      </c>
      <c r="AM81">
        <v>28</v>
      </c>
      <c r="AO81" t="s">
        <v>1105</v>
      </c>
      <c r="AP81" t="s">
        <v>282</v>
      </c>
      <c r="AQ81" t="s">
        <v>285</v>
      </c>
      <c r="AR81" t="s">
        <v>511</v>
      </c>
      <c r="AS81" t="s">
        <v>190</v>
      </c>
      <c r="AT81" t="s">
        <v>191</v>
      </c>
      <c r="AU81" t="s">
        <v>520</v>
      </c>
      <c r="AV81" s="30">
        <v>1</v>
      </c>
      <c r="AW81" t="s">
        <v>287</v>
      </c>
      <c r="AX81" t="s">
        <v>191</v>
      </c>
      <c r="AZ81" t="s">
        <v>829</v>
      </c>
      <c r="BA81">
        <v>0</v>
      </c>
      <c r="BB81" t="s">
        <v>289</v>
      </c>
      <c r="BC81" t="s">
        <v>239</v>
      </c>
      <c r="BE81" t="s">
        <v>336</v>
      </c>
      <c r="BF81" t="s">
        <v>291</v>
      </c>
      <c r="BG81" t="s">
        <v>297</v>
      </c>
      <c r="BH81" t="s">
        <v>281</v>
      </c>
      <c r="BI81">
        <v>2</v>
      </c>
      <c r="BJ81" t="s">
        <v>370</v>
      </c>
      <c r="BK81" t="s">
        <v>1080</v>
      </c>
      <c r="BL81" t="s">
        <v>414</v>
      </c>
      <c r="BM81" t="s">
        <v>415</v>
      </c>
      <c r="BN81" t="str">
        <f t="shared" si="4"/>
        <v>control_music</v>
      </c>
      <c r="BO81" t="s">
        <v>267</v>
      </c>
      <c r="BQ81">
        <v>6</v>
      </c>
      <c r="BR81">
        <v>6</v>
      </c>
      <c r="BS81" s="35">
        <v>68.277680140000001</v>
      </c>
      <c r="BT81" s="35">
        <v>10.54481547</v>
      </c>
      <c r="BU81" s="35">
        <v>25.829417320000001</v>
      </c>
      <c r="BV81" s="35"/>
      <c r="BW81" s="35">
        <v>79.086115989999996</v>
      </c>
      <c r="BX81" s="35">
        <v>7.644991213</v>
      </c>
      <c r="BY81" s="35">
        <v>18.726327560000001</v>
      </c>
      <c r="CB81" t="s">
        <v>268</v>
      </c>
      <c r="CD81" t="s">
        <v>267</v>
      </c>
      <c r="CE81" t="s">
        <v>191</v>
      </c>
      <c r="CF81" t="s">
        <v>309</v>
      </c>
      <c r="CG81" t="s">
        <v>268</v>
      </c>
      <c r="CI81" t="s">
        <v>267</v>
      </c>
      <c r="CK81" s="30">
        <f t="shared" si="5"/>
        <v>1</v>
      </c>
      <c r="CL81">
        <f t="shared" si="6"/>
        <v>4</v>
      </c>
    </row>
    <row r="82" spans="1:90" hidden="1" x14ac:dyDescent="0.35">
      <c r="A82" t="s">
        <v>632</v>
      </c>
      <c r="B82" t="s">
        <v>505</v>
      </c>
      <c r="C82" t="s">
        <v>506</v>
      </c>
      <c r="D82" t="s">
        <v>507</v>
      </c>
      <c r="E82" t="s">
        <v>508</v>
      </c>
      <c r="F82">
        <v>2023</v>
      </c>
      <c r="G82" t="s">
        <v>344</v>
      </c>
      <c r="I82" t="s">
        <v>333</v>
      </c>
      <c r="K82" t="s">
        <v>180</v>
      </c>
      <c r="L82" t="s">
        <v>181</v>
      </c>
      <c r="M82" t="s">
        <v>509</v>
      </c>
      <c r="N82" t="s">
        <v>179</v>
      </c>
      <c r="O82" t="s">
        <v>187</v>
      </c>
      <c r="P82" t="s">
        <v>510</v>
      </c>
      <c r="Q82" t="s">
        <v>187</v>
      </c>
      <c r="S82" t="s">
        <v>204</v>
      </c>
      <c r="U82" t="s">
        <v>1117</v>
      </c>
      <c r="V82" t="s">
        <v>267</v>
      </c>
      <c r="W82" t="s">
        <v>473</v>
      </c>
      <c r="X82" t="s">
        <v>270</v>
      </c>
      <c r="Y82" t="s">
        <v>230</v>
      </c>
      <c r="AA82" t="s">
        <v>187</v>
      </c>
      <c r="AC82">
        <v>28</v>
      </c>
      <c r="AE82" t="s">
        <v>273</v>
      </c>
      <c r="AG82" t="s">
        <v>275</v>
      </c>
      <c r="AI82" t="s">
        <v>345</v>
      </c>
      <c r="AK82">
        <v>1.5</v>
      </c>
      <c r="AM82">
        <v>28</v>
      </c>
      <c r="AO82" t="s">
        <v>1105</v>
      </c>
      <c r="AP82" t="s">
        <v>282</v>
      </c>
      <c r="AQ82" t="s">
        <v>285</v>
      </c>
      <c r="AR82" t="s">
        <v>511</v>
      </c>
      <c r="AS82" t="s">
        <v>190</v>
      </c>
      <c r="AT82" t="s">
        <v>191</v>
      </c>
      <c r="AU82" t="s">
        <v>521</v>
      </c>
      <c r="AV82" s="30">
        <v>1</v>
      </c>
      <c r="AW82" t="s">
        <v>287</v>
      </c>
      <c r="AX82" t="s">
        <v>191</v>
      </c>
      <c r="AZ82" t="s">
        <v>829</v>
      </c>
      <c r="BA82">
        <v>0</v>
      </c>
      <c r="BB82" t="s">
        <v>289</v>
      </c>
      <c r="BC82" t="s">
        <v>239</v>
      </c>
      <c r="BE82" t="s">
        <v>336</v>
      </c>
      <c r="BF82" t="s">
        <v>291</v>
      </c>
      <c r="BG82" t="s">
        <v>297</v>
      </c>
      <c r="BH82" t="s">
        <v>281</v>
      </c>
      <c r="BI82">
        <v>2</v>
      </c>
      <c r="BJ82" t="s">
        <v>370</v>
      </c>
      <c r="BK82" t="s">
        <v>1080</v>
      </c>
      <c r="BL82" t="s">
        <v>319</v>
      </c>
      <c r="BM82" t="s">
        <v>318</v>
      </c>
      <c r="BN82" t="str">
        <f t="shared" si="4"/>
        <v>CUMS_CUMS+MUSIC</v>
      </c>
      <c r="BO82" t="s">
        <v>267</v>
      </c>
      <c r="BQ82">
        <v>10</v>
      </c>
      <c r="BR82">
        <v>14</v>
      </c>
      <c r="BS82" s="35">
        <v>26.625659049999999</v>
      </c>
      <c r="BT82" s="35">
        <v>2.6362038659999998</v>
      </c>
      <c r="BU82" s="35">
        <v>8.3364085939999999</v>
      </c>
      <c r="BV82" s="35"/>
      <c r="BW82" s="35">
        <v>77.240773290000007</v>
      </c>
      <c r="BX82" s="35">
        <v>3.9543058000000002</v>
      </c>
      <c r="BY82" s="35">
        <v>14.795657500000001</v>
      </c>
      <c r="CB82" t="s">
        <v>268</v>
      </c>
      <c r="CD82" t="s">
        <v>267</v>
      </c>
      <c r="CE82" t="s">
        <v>191</v>
      </c>
      <c r="CF82" t="s">
        <v>309</v>
      </c>
      <c r="CG82" t="s">
        <v>268</v>
      </c>
      <c r="CI82" t="s">
        <v>267</v>
      </c>
      <c r="CJ82" t="s">
        <v>527</v>
      </c>
      <c r="CK82" s="30">
        <f t="shared" si="5"/>
        <v>1</v>
      </c>
      <c r="CL82">
        <f t="shared" si="6"/>
        <v>4</v>
      </c>
    </row>
    <row r="83" spans="1:90" hidden="1" x14ac:dyDescent="0.35">
      <c r="A83" t="s">
        <v>633</v>
      </c>
      <c r="B83" t="s">
        <v>505</v>
      </c>
      <c r="C83" t="s">
        <v>506</v>
      </c>
      <c r="D83" t="s">
        <v>507</v>
      </c>
      <c r="E83" t="s">
        <v>508</v>
      </c>
      <c r="F83">
        <v>2023</v>
      </c>
      <c r="G83" t="s">
        <v>175</v>
      </c>
      <c r="I83" t="s">
        <v>334</v>
      </c>
      <c r="K83" t="s">
        <v>180</v>
      </c>
      <c r="L83" t="s">
        <v>181</v>
      </c>
      <c r="M83" t="s">
        <v>509</v>
      </c>
      <c r="N83" t="s">
        <v>179</v>
      </c>
      <c r="O83" t="s">
        <v>187</v>
      </c>
      <c r="P83" t="s">
        <v>510</v>
      </c>
      <c r="Q83" t="s">
        <v>187</v>
      </c>
      <c r="S83" t="s">
        <v>204</v>
      </c>
      <c r="U83" t="s">
        <v>1117</v>
      </c>
      <c r="V83" t="s">
        <v>268</v>
      </c>
      <c r="X83" t="s">
        <v>269</v>
      </c>
      <c r="AE83" t="s">
        <v>273</v>
      </c>
      <c r="AG83" t="s">
        <v>275</v>
      </c>
      <c r="AI83" t="s">
        <v>345</v>
      </c>
      <c r="AK83">
        <v>1.5</v>
      </c>
      <c r="AM83">
        <v>28</v>
      </c>
      <c r="AO83" t="s">
        <v>1105</v>
      </c>
      <c r="AP83" t="s">
        <v>282</v>
      </c>
      <c r="AQ83" t="s">
        <v>285</v>
      </c>
      <c r="AR83" t="s">
        <v>511</v>
      </c>
      <c r="AS83" t="s">
        <v>190</v>
      </c>
      <c r="AT83" t="s">
        <v>191</v>
      </c>
      <c r="AU83" t="s">
        <v>522</v>
      </c>
      <c r="AV83" s="30">
        <v>1</v>
      </c>
      <c r="AW83" t="s">
        <v>287</v>
      </c>
      <c r="AX83" t="s">
        <v>191</v>
      </c>
      <c r="AZ83" t="s">
        <v>829</v>
      </c>
      <c r="BA83">
        <v>0</v>
      </c>
      <c r="BB83" t="s">
        <v>290</v>
      </c>
      <c r="BC83" t="s">
        <v>265</v>
      </c>
      <c r="BE83" t="s">
        <v>559</v>
      </c>
      <c r="BF83" t="s">
        <v>291</v>
      </c>
      <c r="BG83" t="s">
        <v>297</v>
      </c>
      <c r="BH83" t="s">
        <v>281</v>
      </c>
      <c r="BI83">
        <v>2</v>
      </c>
      <c r="BJ83" t="s">
        <v>370</v>
      </c>
      <c r="BK83" t="s">
        <v>1081</v>
      </c>
      <c r="BL83" t="s">
        <v>414</v>
      </c>
      <c r="BM83" t="s">
        <v>415</v>
      </c>
      <c r="BN83" t="str">
        <f t="shared" si="4"/>
        <v>control_music</v>
      </c>
      <c r="BO83" t="s">
        <v>268</v>
      </c>
      <c r="BQ83">
        <v>6</v>
      </c>
      <c r="BR83">
        <v>6</v>
      </c>
      <c r="BS83" s="35">
        <v>136.7741935</v>
      </c>
      <c r="BT83" s="35">
        <v>13.548387099999999</v>
      </c>
      <c r="BU83" s="35">
        <v>33.186635219999999</v>
      </c>
      <c r="BV83" s="35"/>
      <c r="BW83" s="35">
        <v>110.32258059999999</v>
      </c>
      <c r="BX83" s="35">
        <v>18.064516130000001</v>
      </c>
      <c r="BY83" s="35">
        <v>44.248846970000002</v>
      </c>
      <c r="CB83" t="s">
        <v>268</v>
      </c>
      <c r="CD83" t="s">
        <v>267</v>
      </c>
      <c r="CE83" t="s">
        <v>191</v>
      </c>
      <c r="CF83" t="s">
        <v>309</v>
      </c>
      <c r="CG83" t="s">
        <v>268</v>
      </c>
      <c r="CI83" t="s">
        <v>267</v>
      </c>
      <c r="CJ83" t="s">
        <v>527</v>
      </c>
      <c r="CK83" s="30">
        <f t="shared" si="5"/>
        <v>1</v>
      </c>
      <c r="CL83">
        <f t="shared" si="6"/>
        <v>4</v>
      </c>
    </row>
    <row r="84" spans="1:90" hidden="1" x14ac:dyDescent="0.35">
      <c r="A84" t="s">
        <v>634</v>
      </c>
      <c r="B84" t="s">
        <v>505</v>
      </c>
      <c r="C84" t="s">
        <v>506</v>
      </c>
      <c r="D84" t="s">
        <v>507</v>
      </c>
      <c r="E84" t="s">
        <v>508</v>
      </c>
      <c r="F84">
        <v>2023</v>
      </c>
      <c r="G84" t="s">
        <v>344</v>
      </c>
      <c r="I84" t="s">
        <v>334</v>
      </c>
      <c r="K84" t="s">
        <v>180</v>
      </c>
      <c r="L84" t="s">
        <v>181</v>
      </c>
      <c r="M84" t="s">
        <v>509</v>
      </c>
      <c r="N84" t="s">
        <v>179</v>
      </c>
      <c r="O84" t="s">
        <v>187</v>
      </c>
      <c r="P84" t="s">
        <v>510</v>
      </c>
      <c r="Q84" t="s">
        <v>187</v>
      </c>
      <c r="S84" t="s">
        <v>204</v>
      </c>
      <c r="U84" t="s">
        <v>1117</v>
      </c>
      <c r="V84" t="s">
        <v>267</v>
      </c>
      <c r="W84" t="s">
        <v>473</v>
      </c>
      <c r="X84" t="s">
        <v>270</v>
      </c>
      <c r="Y84" t="s">
        <v>230</v>
      </c>
      <c r="AA84" t="s">
        <v>187</v>
      </c>
      <c r="AC84">
        <v>28</v>
      </c>
      <c r="AE84" t="s">
        <v>273</v>
      </c>
      <c r="AG84" t="s">
        <v>275</v>
      </c>
      <c r="AI84" t="s">
        <v>345</v>
      </c>
      <c r="AK84">
        <v>1.5</v>
      </c>
      <c r="AM84">
        <v>28</v>
      </c>
      <c r="AO84" t="s">
        <v>1105</v>
      </c>
      <c r="AP84" t="s">
        <v>282</v>
      </c>
      <c r="AQ84" t="s">
        <v>285</v>
      </c>
      <c r="AR84" t="s">
        <v>511</v>
      </c>
      <c r="AS84" t="s">
        <v>190</v>
      </c>
      <c r="AT84" t="s">
        <v>191</v>
      </c>
      <c r="AU84" t="s">
        <v>523</v>
      </c>
      <c r="AV84" s="30">
        <v>1</v>
      </c>
      <c r="AW84" t="s">
        <v>287</v>
      </c>
      <c r="AX84" t="s">
        <v>191</v>
      </c>
      <c r="AZ84" t="s">
        <v>829</v>
      </c>
      <c r="BA84">
        <v>0</v>
      </c>
      <c r="BB84" t="s">
        <v>290</v>
      </c>
      <c r="BC84" t="s">
        <v>265</v>
      </c>
      <c r="BE84" t="s">
        <v>559</v>
      </c>
      <c r="BF84" t="s">
        <v>291</v>
      </c>
      <c r="BG84" t="s">
        <v>297</v>
      </c>
      <c r="BH84" t="s">
        <v>281</v>
      </c>
      <c r="BI84">
        <v>2</v>
      </c>
      <c r="BJ84" t="s">
        <v>370</v>
      </c>
      <c r="BK84" t="s">
        <v>1081</v>
      </c>
      <c r="BL84" t="s">
        <v>319</v>
      </c>
      <c r="BM84" t="s">
        <v>318</v>
      </c>
      <c r="BN84" t="str">
        <f t="shared" si="4"/>
        <v>CUMS_CUMS+MUSIC</v>
      </c>
      <c r="BO84" t="s">
        <v>268</v>
      </c>
      <c r="BQ84">
        <v>10</v>
      </c>
      <c r="BR84">
        <v>14</v>
      </c>
      <c r="BS84" s="35">
        <v>209.03225810000001</v>
      </c>
      <c r="BT84" s="35">
        <v>14.838709679999999</v>
      </c>
      <c r="BU84" s="35">
        <v>46.924120119999998</v>
      </c>
      <c r="BV84" s="35"/>
      <c r="BW84" s="35">
        <v>94.193548390000004</v>
      </c>
      <c r="BX84" s="35">
        <v>13.548387099999999</v>
      </c>
      <c r="BY84" s="35">
        <v>50.693422660000003</v>
      </c>
      <c r="CB84" t="s">
        <v>268</v>
      </c>
      <c r="CD84" t="s">
        <v>267</v>
      </c>
      <c r="CE84" t="s">
        <v>191</v>
      </c>
      <c r="CF84" t="s">
        <v>309</v>
      </c>
      <c r="CG84" t="s">
        <v>268</v>
      </c>
      <c r="CI84" t="s">
        <v>267</v>
      </c>
      <c r="CK84" s="30">
        <f t="shared" si="5"/>
        <v>1</v>
      </c>
      <c r="CL84">
        <f t="shared" si="6"/>
        <v>4</v>
      </c>
    </row>
    <row r="85" spans="1:90" hidden="1" x14ac:dyDescent="0.35">
      <c r="A85" t="s">
        <v>635</v>
      </c>
      <c r="B85" t="s">
        <v>505</v>
      </c>
      <c r="C85" t="s">
        <v>506</v>
      </c>
      <c r="D85" t="s">
        <v>507</v>
      </c>
      <c r="E85" t="s">
        <v>508</v>
      </c>
      <c r="F85">
        <v>2023</v>
      </c>
      <c r="G85" t="s">
        <v>175</v>
      </c>
      <c r="I85" t="s">
        <v>335</v>
      </c>
      <c r="K85" t="s">
        <v>180</v>
      </c>
      <c r="L85" t="s">
        <v>181</v>
      </c>
      <c r="M85" t="s">
        <v>509</v>
      </c>
      <c r="N85" t="s">
        <v>179</v>
      </c>
      <c r="O85" t="s">
        <v>187</v>
      </c>
      <c r="P85" t="s">
        <v>510</v>
      </c>
      <c r="Q85" t="s">
        <v>187</v>
      </c>
      <c r="S85" t="s">
        <v>204</v>
      </c>
      <c r="U85" t="s">
        <v>1117</v>
      </c>
      <c r="V85" t="s">
        <v>268</v>
      </c>
      <c r="X85" t="s">
        <v>269</v>
      </c>
      <c r="AE85" t="s">
        <v>273</v>
      </c>
      <c r="AG85" t="s">
        <v>275</v>
      </c>
      <c r="AI85" t="s">
        <v>345</v>
      </c>
      <c r="AK85">
        <v>1.5</v>
      </c>
      <c r="AM85">
        <v>28</v>
      </c>
      <c r="AO85" t="s">
        <v>1105</v>
      </c>
      <c r="AP85" t="s">
        <v>282</v>
      </c>
      <c r="AQ85" t="s">
        <v>285</v>
      </c>
      <c r="AR85" t="s">
        <v>511</v>
      </c>
      <c r="AS85" t="s">
        <v>190</v>
      </c>
      <c r="AT85" t="s">
        <v>191</v>
      </c>
      <c r="AU85" t="s">
        <v>524</v>
      </c>
      <c r="AV85" s="30">
        <v>1</v>
      </c>
      <c r="AW85" t="s">
        <v>287</v>
      </c>
      <c r="AX85" t="s">
        <v>191</v>
      </c>
      <c r="AZ85" t="s">
        <v>829</v>
      </c>
      <c r="BA85">
        <v>0</v>
      </c>
      <c r="BB85" t="s">
        <v>290</v>
      </c>
      <c r="BC85" t="s">
        <v>257</v>
      </c>
      <c r="BE85" t="s">
        <v>526</v>
      </c>
      <c r="BF85" t="s">
        <v>292</v>
      </c>
      <c r="BG85" t="s">
        <v>298</v>
      </c>
      <c r="BH85" t="s">
        <v>281</v>
      </c>
      <c r="BI85">
        <v>2</v>
      </c>
      <c r="BJ85" t="s">
        <v>370</v>
      </c>
      <c r="BK85" t="s">
        <v>1082</v>
      </c>
      <c r="BL85" t="s">
        <v>414</v>
      </c>
      <c r="BM85" t="s">
        <v>415</v>
      </c>
      <c r="BN85" t="str">
        <f t="shared" si="4"/>
        <v>control_music</v>
      </c>
      <c r="BO85" t="s">
        <v>267</v>
      </c>
      <c r="BQ85">
        <v>6</v>
      </c>
      <c r="BR85">
        <v>6</v>
      </c>
      <c r="BS85" s="35">
        <v>93.094841930000001</v>
      </c>
      <c r="BT85" s="35">
        <v>1.9966722130000001</v>
      </c>
      <c r="BU85" s="35">
        <v>4.8908281049999998</v>
      </c>
      <c r="BV85" s="35"/>
      <c r="BW85" s="35">
        <v>91.597337769999996</v>
      </c>
      <c r="BX85" s="35">
        <v>2.2462562400000001</v>
      </c>
      <c r="BY85" s="35">
        <v>5.5021816189999999</v>
      </c>
      <c r="CB85" t="s">
        <v>268</v>
      </c>
      <c r="CD85" t="s">
        <v>267</v>
      </c>
      <c r="CE85" t="s">
        <v>191</v>
      </c>
      <c r="CF85" t="s">
        <v>309</v>
      </c>
      <c r="CG85" t="s">
        <v>268</v>
      </c>
      <c r="CI85" t="s">
        <v>267</v>
      </c>
      <c r="CK85" s="30">
        <f t="shared" si="5"/>
        <v>1</v>
      </c>
      <c r="CL85">
        <f t="shared" si="6"/>
        <v>4</v>
      </c>
    </row>
    <row r="86" spans="1:90" hidden="1" x14ac:dyDescent="0.35">
      <c r="A86" t="s">
        <v>636</v>
      </c>
      <c r="B86" t="s">
        <v>505</v>
      </c>
      <c r="C86" t="s">
        <v>506</v>
      </c>
      <c r="D86" t="s">
        <v>507</v>
      </c>
      <c r="E86" t="s">
        <v>508</v>
      </c>
      <c r="F86">
        <v>2023</v>
      </c>
      <c r="G86" t="s">
        <v>344</v>
      </c>
      <c r="I86" t="s">
        <v>335</v>
      </c>
      <c r="K86" t="s">
        <v>180</v>
      </c>
      <c r="L86" t="s">
        <v>181</v>
      </c>
      <c r="M86" t="s">
        <v>509</v>
      </c>
      <c r="N86" t="s">
        <v>179</v>
      </c>
      <c r="O86" t="s">
        <v>187</v>
      </c>
      <c r="P86" t="s">
        <v>510</v>
      </c>
      <c r="Q86" t="s">
        <v>187</v>
      </c>
      <c r="S86" t="s">
        <v>204</v>
      </c>
      <c r="U86" t="s">
        <v>1117</v>
      </c>
      <c r="V86" t="s">
        <v>267</v>
      </c>
      <c r="W86" t="s">
        <v>473</v>
      </c>
      <c r="X86" t="s">
        <v>270</v>
      </c>
      <c r="Y86" t="s">
        <v>230</v>
      </c>
      <c r="AA86" t="s">
        <v>187</v>
      </c>
      <c r="AC86">
        <v>28</v>
      </c>
      <c r="AE86" t="s">
        <v>273</v>
      </c>
      <c r="AG86" t="s">
        <v>275</v>
      </c>
      <c r="AI86" t="s">
        <v>345</v>
      </c>
      <c r="AK86">
        <v>1.5</v>
      </c>
      <c r="AM86">
        <v>28</v>
      </c>
      <c r="AO86" t="s">
        <v>1105</v>
      </c>
      <c r="AP86" t="s">
        <v>282</v>
      </c>
      <c r="AQ86" t="s">
        <v>285</v>
      </c>
      <c r="AR86" t="s">
        <v>511</v>
      </c>
      <c r="AS86" t="s">
        <v>190</v>
      </c>
      <c r="AT86" t="s">
        <v>191</v>
      </c>
      <c r="AU86" t="s">
        <v>525</v>
      </c>
      <c r="AV86" s="30">
        <v>1</v>
      </c>
      <c r="AW86" t="s">
        <v>287</v>
      </c>
      <c r="AX86" t="s">
        <v>191</v>
      </c>
      <c r="AZ86" t="s">
        <v>829</v>
      </c>
      <c r="BA86">
        <v>0</v>
      </c>
      <c r="BB86" t="s">
        <v>290</v>
      </c>
      <c r="BC86" t="s">
        <v>257</v>
      </c>
      <c r="BE86" t="s">
        <v>526</v>
      </c>
      <c r="BF86" t="s">
        <v>292</v>
      </c>
      <c r="BG86" t="s">
        <v>298</v>
      </c>
      <c r="BH86" t="s">
        <v>281</v>
      </c>
      <c r="BI86">
        <v>2</v>
      </c>
      <c r="BJ86" t="s">
        <v>370</v>
      </c>
      <c r="BK86" t="s">
        <v>1082</v>
      </c>
      <c r="BL86" t="s">
        <v>319</v>
      </c>
      <c r="BM86" t="s">
        <v>318</v>
      </c>
      <c r="BN86" t="str">
        <f t="shared" si="4"/>
        <v>CUMS_CUMS+MUSIC</v>
      </c>
      <c r="BO86" t="s">
        <v>267</v>
      </c>
      <c r="BQ86">
        <v>10</v>
      </c>
      <c r="BR86">
        <v>14</v>
      </c>
      <c r="BS86" s="35">
        <v>53.910149750000002</v>
      </c>
      <c r="BT86" s="35">
        <v>3.2445923460000001</v>
      </c>
      <c r="BU86" s="35">
        <v>10.260301889999999</v>
      </c>
      <c r="BV86" s="35"/>
      <c r="BW86" s="35">
        <v>87.104825289999994</v>
      </c>
      <c r="BX86" s="35">
        <v>1.4975041600000001</v>
      </c>
      <c r="BY86" s="35">
        <v>5.6031475009999996</v>
      </c>
      <c r="CB86" t="s">
        <v>268</v>
      </c>
      <c r="CD86" t="s">
        <v>267</v>
      </c>
      <c r="CE86" t="s">
        <v>191</v>
      </c>
      <c r="CF86" t="s">
        <v>309</v>
      </c>
      <c r="CG86" t="s">
        <v>268</v>
      </c>
      <c r="CI86" t="s">
        <v>267</v>
      </c>
      <c r="CK86" s="30">
        <f t="shared" si="5"/>
        <v>1</v>
      </c>
      <c r="CL86">
        <f t="shared" si="6"/>
        <v>4</v>
      </c>
    </row>
    <row r="87" spans="1:90" hidden="1" x14ac:dyDescent="0.35">
      <c r="A87" t="s">
        <v>637</v>
      </c>
      <c r="B87" t="s">
        <v>528</v>
      </c>
      <c r="C87" t="s">
        <v>529</v>
      </c>
      <c r="D87" t="s">
        <v>530</v>
      </c>
      <c r="E87" t="s">
        <v>531</v>
      </c>
      <c r="F87">
        <v>2017</v>
      </c>
      <c r="G87" t="s">
        <v>175</v>
      </c>
      <c r="I87" t="s">
        <v>176</v>
      </c>
      <c r="K87" t="s">
        <v>178</v>
      </c>
      <c r="L87" t="s">
        <v>177</v>
      </c>
      <c r="M87" t="s">
        <v>1125</v>
      </c>
      <c r="N87" t="s">
        <v>179</v>
      </c>
      <c r="O87" t="s">
        <v>185</v>
      </c>
      <c r="P87" t="s">
        <v>532</v>
      </c>
      <c r="Q87" t="s">
        <v>185</v>
      </c>
      <c r="R87" t="s">
        <v>532</v>
      </c>
      <c r="S87" t="s">
        <v>208</v>
      </c>
      <c r="U87" t="s">
        <v>1118</v>
      </c>
      <c r="V87" t="s">
        <v>268</v>
      </c>
      <c r="X87" t="s">
        <v>269</v>
      </c>
      <c r="AE87" t="s">
        <v>273</v>
      </c>
      <c r="AG87" t="s">
        <v>275</v>
      </c>
      <c r="AI87" t="s">
        <v>311</v>
      </c>
      <c r="AK87">
        <v>4</v>
      </c>
      <c r="AM87">
        <v>4</v>
      </c>
      <c r="AO87" t="s">
        <v>1104</v>
      </c>
      <c r="AP87" t="s">
        <v>279</v>
      </c>
      <c r="AQ87" t="s">
        <v>283</v>
      </c>
      <c r="AR87" t="s">
        <v>537</v>
      </c>
      <c r="AS87" t="s">
        <v>1094</v>
      </c>
      <c r="AT87">
        <v>65</v>
      </c>
      <c r="AU87" t="s">
        <v>191</v>
      </c>
      <c r="AV87" s="30">
        <v>1</v>
      </c>
      <c r="AW87" t="s">
        <v>287</v>
      </c>
      <c r="AX87" t="s">
        <v>191</v>
      </c>
      <c r="AZ87" t="s">
        <v>829</v>
      </c>
      <c r="BA87">
        <v>0</v>
      </c>
      <c r="BB87" t="s">
        <v>289</v>
      </c>
      <c r="BC87" t="s">
        <v>243</v>
      </c>
      <c r="BE87" t="s">
        <v>434</v>
      </c>
      <c r="BF87" t="s">
        <v>294</v>
      </c>
      <c r="BG87" t="s">
        <v>300</v>
      </c>
      <c r="BH87" t="s">
        <v>191</v>
      </c>
      <c r="BI87">
        <v>1</v>
      </c>
      <c r="BJ87" t="s">
        <v>370</v>
      </c>
      <c r="BK87" t="s">
        <v>538</v>
      </c>
      <c r="BL87" t="s">
        <v>414</v>
      </c>
      <c r="BM87" t="s">
        <v>540</v>
      </c>
      <c r="BN87" t="str">
        <f t="shared" si="4"/>
        <v>control_music.therapy</v>
      </c>
      <c r="BO87" t="s">
        <v>267</v>
      </c>
      <c r="BQ87">
        <v>10</v>
      </c>
      <c r="BR87">
        <v>10</v>
      </c>
      <c r="BS87" s="35">
        <v>78.606965169999995</v>
      </c>
      <c r="BT87" s="35">
        <v>6.3018242119999996</v>
      </c>
      <c r="BU87" s="35">
        <v>19.928117919999998</v>
      </c>
      <c r="BV87" s="35"/>
      <c r="BW87" s="35">
        <v>74.29519071</v>
      </c>
      <c r="BX87" s="35">
        <v>2.819237148</v>
      </c>
      <c r="BY87" s="35">
        <v>8.9152106510000007</v>
      </c>
      <c r="CB87" t="s">
        <v>268</v>
      </c>
      <c r="CD87" t="s">
        <v>268</v>
      </c>
      <c r="CE87" t="s">
        <v>191</v>
      </c>
      <c r="CF87" t="s">
        <v>309</v>
      </c>
      <c r="CG87" t="s">
        <v>268</v>
      </c>
      <c r="CI87" t="s">
        <v>268</v>
      </c>
      <c r="CK87" s="30">
        <f t="shared" si="5"/>
        <v>1</v>
      </c>
      <c r="CL87">
        <f t="shared" si="6"/>
        <v>3</v>
      </c>
    </row>
    <row r="88" spans="1:90" hidden="1" x14ac:dyDescent="0.35">
      <c r="A88" t="s">
        <v>638</v>
      </c>
      <c r="B88" t="s">
        <v>528</v>
      </c>
      <c r="C88" t="s">
        <v>529</v>
      </c>
      <c r="D88" t="s">
        <v>530</v>
      </c>
      <c r="E88" t="s">
        <v>531</v>
      </c>
      <c r="F88">
        <v>2017</v>
      </c>
      <c r="G88" t="s">
        <v>175</v>
      </c>
      <c r="I88" t="s">
        <v>331</v>
      </c>
      <c r="K88" t="s">
        <v>178</v>
      </c>
      <c r="L88" t="s">
        <v>177</v>
      </c>
      <c r="M88" t="s">
        <v>1125</v>
      </c>
      <c r="N88" t="s">
        <v>179</v>
      </c>
      <c r="O88" t="s">
        <v>186</v>
      </c>
      <c r="P88" t="s">
        <v>533</v>
      </c>
      <c r="Q88" t="s">
        <v>186</v>
      </c>
      <c r="R88" t="s">
        <v>533</v>
      </c>
      <c r="S88" t="s">
        <v>208</v>
      </c>
      <c r="U88" t="s">
        <v>1118</v>
      </c>
      <c r="V88" t="s">
        <v>268</v>
      </c>
      <c r="X88" t="s">
        <v>269</v>
      </c>
      <c r="AE88" t="s">
        <v>273</v>
      </c>
      <c r="AG88" t="s">
        <v>275</v>
      </c>
      <c r="AI88" t="s">
        <v>348</v>
      </c>
      <c r="AK88">
        <v>4</v>
      </c>
      <c r="AM88">
        <v>4</v>
      </c>
      <c r="AO88" t="s">
        <v>1104</v>
      </c>
      <c r="AP88" t="s">
        <v>279</v>
      </c>
      <c r="AQ88" t="s">
        <v>283</v>
      </c>
      <c r="AR88" t="s">
        <v>537</v>
      </c>
      <c r="AS88" t="s">
        <v>1094</v>
      </c>
      <c r="AT88">
        <v>65</v>
      </c>
      <c r="AU88" t="s">
        <v>191</v>
      </c>
      <c r="AV88" s="30">
        <v>1</v>
      </c>
      <c r="AW88" t="s">
        <v>287</v>
      </c>
      <c r="AX88" t="s">
        <v>191</v>
      </c>
      <c r="AZ88" t="s">
        <v>829</v>
      </c>
      <c r="BA88">
        <v>0</v>
      </c>
      <c r="BB88" t="s">
        <v>289</v>
      </c>
      <c r="BC88" t="s">
        <v>243</v>
      </c>
      <c r="BE88" t="s">
        <v>434</v>
      </c>
      <c r="BF88" t="s">
        <v>294</v>
      </c>
      <c r="BG88" t="s">
        <v>300</v>
      </c>
      <c r="BH88" t="s">
        <v>191</v>
      </c>
      <c r="BI88">
        <v>1</v>
      </c>
      <c r="BJ88" t="s">
        <v>370</v>
      </c>
      <c r="BK88" t="s">
        <v>538</v>
      </c>
      <c r="BL88" t="s">
        <v>414</v>
      </c>
      <c r="BM88" t="s">
        <v>540</v>
      </c>
      <c r="BN88" t="str">
        <f t="shared" si="4"/>
        <v>control_music.therapy</v>
      </c>
      <c r="BO88" t="s">
        <v>267</v>
      </c>
      <c r="BQ88">
        <v>10</v>
      </c>
      <c r="BR88">
        <v>10</v>
      </c>
      <c r="BS88" s="35">
        <v>56.384742950000003</v>
      </c>
      <c r="BT88" s="35">
        <v>7.9601990049999998</v>
      </c>
      <c r="BU88" s="35">
        <v>25.172359480000001</v>
      </c>
      <c r="BV88" s="35"/>
      <c r="BW88" s="35">
        <v>44.278606969999998</v>
      </c>
      <c r="BX88" s="35">
        <v>3.8142620229999999</v>
      </c>
      <c r="BY88" s="35">
        <v>12.061755590000001</v>
      </c>
      <c r="CB88" t="s">
        <v>268</v>
      </c>
      <c r="CD88" t="s">
        <v>268</v>
      </c>
      <c r="CE88" t="s">
        <v>191</v>
      </c>
      <c r="CF88" t="s">
        <v>309</v>
      </c>
      <c r="CG88" t="s">
        <v>268</v>
      </c>
      <c r="CI88" t="s">
        <v>268</v>
      </c>
      <c r="CK88" s="30">
        <f t="shared" si="5"/>
        <v>1</v>
      </c>
      <c r="CL88">
        <f t="shared" si="6"/>
        <v>3</v>
      </c>
    </row>
    <row r="89" spans="1:90" hidden="1" x14ac:dyDescent="0.35">
      <c r="A89" t="s">
        <v>639</v>
      </c>
      <c r="B89" t="s">
        <v>528</v>
      </c>
      <c r="C89" t="s">
        <v>529</v>
      </c>
      <c r="D89" t="s">
        <v>530</v>
      </c>
      <c r="E89" t="s">
        <v>531</v>
      </c>
      <c r="F89">
        <v>2017</v>
      </c>
      <c r="G89" t="s">
        <v>175</v>
      </c>
      <c r="I89" t="s">
        <v>332</v>
      </c>
      <c r="K89" t="s">
        <v>178</v>
      </c>
      <c r="L89" t="s">
        <v>177</v>
      </c>
      <c r="M89" t="s">
        <v>1125</v>
      </c>
      <c r="N89" t="s">
        <v>179</v>
      </c>
      <c r="O89" t="s">
        <v>187</v>
      </c>
      <c r="P89" t="s">
        <v>534</v>
      </c>
      <c r="Q89" t="s">
        <v>187</v>
      </c>
      <c r="R89" t="s">
        <v>534</v>
      </c>
      <c r="S89" t="s">
        <v>208</v>
      </c>
      <c r="U89" t="s">
        <v>1118</v>
      </c>
      <c r="V89" t="s">
        <v>268</v>
      </c>
      <c r="X89" t="s">
        <v>269</v>
      </c>
      <c r="AE89" t="s">
        <v>273</v>
      </c>
      <c r="AG89" t="s">
        <v>275</v>
      </c>
      <c r="AI89" t="s">
        <v>352</v>
      </c>
      <c r="AK89">
        <v>4</v>
      </c>
      <c r="AM89">
        <v>4</v>
      </c>
      <c r="AO89" t="s">
        <v>1104</v>
      </c>
      <c r="AP89" t="s">
        <v>279</v>
      </c>
      <c r="AQ89" t="s">
        <v>283</v>
      </c>
      <c r="AR89" t="s">
        <v>537</v>
      </c>
      <c r="AS89" t="s">
        <v>1094</v>
      </c>
      <c r="AT89">
        <v>65</v>
      </c>
      <c r="AU89" t="s">
        <v>191</v>
      </c>
      <c r="AV89" s="30">
        <v>1</v>
      </c>
      <c r="AW89" t="s">
        <v>287</v>
      </c>
      <c r="AX89" t="s">
        <v>191</v>
      </c>
      <c r="AZ89" t="s">
        <v>829</v>
      </c>
      <c r="BA89">
        <v>0</v>
      </c>
      <c r="BB89" t="s">
        <v>289</v>
      </c>
      <c r="BC89" t="s">
        <v>243</v>
      </c>
      <c r="BE89" t="s">
        <v>434</v>
      </c>
      <c r="BF89" t="s">
        <v>294</v>
      </c>
      <c r="BG89" t="s">
        <v>300</v>
      </c>
      <c r="BH89" t="s">
        <v>191</v>
      </c>
      <c r="BI89">
        <v>1</v>
      </c>
      <c r="BJ89" t="s">
        <v>370</v>
      </c>
      <c r="BK89" t="s">
        <v>538</v>
      </c>
      <c r="BL89" t="s">
        <v>414</v>
      </c>
      <c r="BM89" t="s">
        <v>540</v>
      </c>
      <c r="BN89" t="str">
        <f t="shared" si="4"/>
        <v>control_music.therapy</v>
      </c>
      <c r="BO89" t="s">
        <v>267</v>
      </c>
      <c r="BQ89">
        <v>10</v>
      </c>
      <c r="BR89">
        <v>10</v>
      </c>
      <c r="BS89" s="35">
        <v>38.308457709999999</v>
      </c>
      <c r="BT89" s="35">
        <v>4.3117744609999997</v>
      </c>
      <c r="BU89" s="35">
        <v>13.635028050000001</v>
      </c>
      <c r="BV89" s="35"/>
      <c r="BW89" s="35">
        <v>30.84577114</v>
      </c>
      <c r="BX89" s="35">
        <v>3.4825870650000001</v>
      </c>
      <c r="BY89" s="35">
        <v>11.012907269999999</v>
      </c>
      <c r="CB89" t="s">
        <v>268</v>
      </c>
      <c r="CD89" t="s">
        <v>268</v>
      </c>
      <c r="CE89" t="s">
        <v>191</v>
      </c>
      <c r="CF89" t="s">
        <v>309</v>
      </c>
      <c r="CG89" t="s">
        <v>268</v>
      </c>
      <c r="CI89" t="s">
        <v>268</v>
      </c>
      <c r="CK89" s="30">
        <f t="shared" si="5"/>
        <v>1</v>
      </c>
      <c r="CL89">
        <f t="shared" si="6"/>
        <v>3</v>
      </c>
    </row>
    <row r="90" spans="1:90" hidden="1" x14ac:dyDescent="0.35">
      <c r="A90" t="s">
        <v>640</v>
      </c>
      <c r="B90" t="s">
        <v>528</v>
      </c>
      <c r="C90" t="s">
        <v>529</v>
      </c>
      <c r="D90" t="s">
        <v>530</v>
      </c>
      <c r="E90" t="s">
        <v>531</v>
      </c>
      <c r="F90">
        <v>2017</v>
      </c>
      <c r="G90" t="s">
        <v>175</v>
      </c>
      <c r="I90" t="s">
        <v>333</v>
      </c>
      <c r="K90" t="s">
        <v>178</v>
      </c>
      <c r="L90" t="s">
        <v>177</v>
      </c>
      <c r="M90" t="s">
        <v>1125</v>
      </c>
      <c r="N90" t="s">
        <v>179</v>
      </c>
      <c r="O90" t="s">
        <v>188</v>
      </c>
      <c r="P90" t="s">
        <v>535</v>
      </c>
      <c r="Q90" t="s">
        <v>188</v>
      </c>
      <c r="R90" t="s">
        <v>535</v>
      </c>
      <c r="S90" t="s">
        <v>208</v>
      </c>
      <c r="U90" t="s">
        <v>1118</v>
      </c>
      <c r="V90" t="s">
        <v>268</v>
      </c>
      <c r="X90" t="s">
        <v>269</v>
      </c>
      <c r="AE90" t="s">
        <v>273</v>
      </c>
      <c r="AG90" t="s">
        <v>275</v>
      </c>
      <c r="AI90" t="s">
        <v>536</v>
      </c>
      <c r="AK90">
        <v>4</v>
      </c>
      <c r="AM90">
        <v>4</v>
      </c>
      <c r="AO90" t="s">
        <v>1104</v>
      </c>
      <c r="AP90" t="s">
        <v>279</v>
      </c>
      <c r="AQ90" t="s">
        <v>283</v>
      </c>
      <c r="AR90" t="s">
        <v>537</v>
      </c>
      <c r="AS90" t="s">
        <v>1094</v>
      </c>
      <c r="AT90">
        <v>65</v>
      </c>
      <c r="AU90" t="s">
        <v>191</v>
      </c>
      <c r="AV90" s="30">
        <v>1</v>
      </c>
      <c r="AW90" t="s">
        <v>287</v>
      </c>
      <c r="AX90" t="s">
        <v>191</v>
      </c>
      <c r="AZ90" t="s">
        <v>829</v>
      </c>
      <c r="BA90">
        <v>0</v>
      </c>
      <c r="BB90" t="s">
        <v>289</v>
      </c>
      <c r="BC90" t="s">
        <v>243</v>
      </c>
      <c r="BE90" t="s">
        <v>434</v>
      </c>
      <c r="BF90" t="s">
        <v>294</v>
      </c>
      <c r="BG90" t="s">
        <v>300</v>
      </c>
      <c r="BH90" t="s">
        <v>191</v>
      </c>
      <c r="BI90">
        <v>1</v>
      </c>
      <c r="BJ90" t="s">
        <v>370</v>
      </c>
      <c r="BK90" t="s">
        <v>538</v>
      </c>
      <c r="BL90" t="s">
        <v>414</v>
      </c>
      <c r="BM90" t="s">
        <v>540</v>
      </c>
      <c r="BN90" t="str">
        <f t="shared" si="4"/>
        <v>control_music.therapy</v>
      </c>
      <c r="BO90" t="s">
        <v>267</v>
      </c>
      <c r="BQ90">
        <v>10</v>
      </c>
      <c r="BR90">
        <v>10</v>
      </c>
      <c r="BS90" s="35">
        <v>25.373134329999999</v>
      </c>
      <c r="BT90" s="35">
        <v>3.9800995019999998</v>
      </c>
      <c r="BU90" s="35">
        <v>12.58617974</v>
      </c>
      <c r="BV90" s="35"/>
      <c r="BW90" s="35">
        <v>24.543946930000001</v>
      </c>
      <c r="BX90" s="35">
        <v>0.82918739600000002</v>
      </c>
      <c r="BY90" s="35">
        <v>2.6221207799999999</v>
      </c>
      <c r="CB90" t="s">
        <v>268</v>
      </c>
      <c r="CD90" t="s">
        <v>268</v>
      </c>
      <c r="CE90" t="s">
        <v>191</v>
      </c>
      <c r="CF90" t="s">
        <v>309</v>
      </c>
      <c r="CG90" t="s">
        <v>268</v>
      </c>
      <c r="CI90" t="s">
        <v>268</v>
      </c>
      <c r="CK90" s="30">
        <f t="shared" si="5"/>
        <v>1</v>
      </c>
      <c r="CL90">
        <f t="shared" si="6"/>
        <v>3</v>
      </c>
    </row>
    <row r="91" spans="1:90" hidden="1" x14ac:dyDescent="0.35">
      <c r="A91" t="s">
        <v>641</v>
      </c>
      <c r="B91" t="s">
        <v>528</v>
      </c>
      <c r="C91" t="s">
        <v>529</v>
      </c>
      <c r="D91" t="s">
        <v>530</v>
      </c>
      <c r="E91" t="s">
        <v>531</v>
      </c>
      <c r="F91">
        <v>2017</v>
      </c>
      <c r="G91" t="s">
        <v>344</v>
      </c>
      <c r="I91" t="s">
        <v>176</v>
      </c>
      <c r="K91" t="s">
        <v>178</v>
      </c>
      <c r="L91" t="s">
        <v>177</v>
      </c>
      <c r="M91" t="s">
        <v>1125</v>
      </c>
      <c r="N91" t="s">
        <v>193</v>
      </c>
      <c r="O91" t="s">
        <v>185</v>
      </c>
      <c r="P91" t="s">
        <v>532</v>
      </c>
      <c r="Q91" t="s">
        <v>185</v>
      </c>
      <c r="R91" t="s">
        <v>532</v>
      </c>
      <c r="S91" t="s">
        <v>208</v>
      </c>
      <c r="U91" t="s">
        <v>1118</v>
      </c>
      <c r="V91" t="s">
        <v>268</v>
      </c>
      <c r="X91" t="s">
        <v>269</v>
      </c>
      <c r="AE91" t="s">
        <v>273</v>
      </c>
      <c r="AG91" t="s">
        <v>275</v>
      </c>
      <c r="AI91" t="s">
        <v>311</v>
      </c>
      <c r="AK91">
        <v>4</v>
      </c>
      <c r="AM91">
        <v>4</v>
      </c>
      <c r="AO91" t="s">
        <v>1104</v>
      </c>
      <c r="AP91" t="s">
        <v>279</v>
      </c>
      <c r="AQ91" t="s">
        <v>283</v>
      </c>
      <c r="AR91" t="s">
        <v>537</v>
      </c>
      <c r="AS91" t="s">
        <v>1094</v>
      </c>
      <c r="AT91">
        <v>65</v>
      </c>
      <c r="AU91" t="s">
        <v>191</v>
      </c>
      <c r="AV91" s="30">
        <v>1</v>
      </c>
      <c r="AW91" t="s">
        <v>287</v>
      </c>
      <c r="AX91" t="s">
        <v>191</v>
      </c>
      <c r="AZ91" t="s">
        <v>829</v>
      </c>
      <c r="BA91">
        <v>0</v>
      </c>
      <c r="BB91" t="s">
        <v>289</v>
      </c>
      <c r="BC91" t="s">
        <v>243</v>
      </c>
      <c r="BE91" t="s">
        <v>434</v>
      </c>
      <c r="BF91" t="s">
        <v>294</v>
      </c>
      <c r="BG91" t="s">
        <v>300</v>
      </c>
      <c r="BH91" t="s">
        <v>191</v>
      </c>
      <c r="BI91">
        <v>1</v>
      </c>
      <c r="BJ91" t="s">
        <v>370</v>
      </c>
      <c r="BK91" t="s">
        <v>539</v>
      </c>
      <c r="BL91" t="s">
        <v>414</v>
      </c>
      <c r="BM91" t="s">
        <v>540</v>
      </c>
      <c r="BN91" t="str">
        <f t="shared" si="4"/>
        <v>control_music.therapy</v>
      </c>
      <c r="BO91" t="s">
        <v>267</v>
      </c>
      <c r="BQ91">
        <v>10</v>
      </c>
      <c r="BR91">
        <v>10</v>
      </c>
      <c r="BS91" s="35">
        <v>41.176470590000001</v>
      </c>
      <c r="BT91" s="35">
        <v>4.9673202610000002</v>
      </c>
      <c r="BU91" s="35">
        <v>15.708045889999999</v>
      </c>
      <c r="BV91" s="35"/>
      <c r="BW91" s="35">
        <v>41.830065359999999</v>
      </c>
      <c r="BX91" s="35">
        <v>2.4836601310000002</v>
      </c>
      <c r="BY91" s="35">
        <v>7.8540229469999998</v>
      </c>
      <c r="CB91" t="s">
        <v>268</v>
      </c>
      <c r="CD91" t="s">
        <v>268</v>
      </c>
      <c r="CE91" t="s">
        <v>191</v>
      </c>
      <c r="CF91" t="s">
        <v>309</v>
      </c>
      <c r="CG91" t="s">
        <v>268</v>
      </c>
      <c r="CI91" t="s">
        <v>268</v>
      </c>
      <c r="CK91" s="30">
        <f t="shared" si="5"/>
        <v>1</v>
      </c>
      <c r="CL91">
        <f t="shared" si="6"/>
        <v>3</v>
      </c>
    </row>
    <row r="92" spans="1:90" hidden="1" x14ac:dyDescent="0.35">
      <c r="A92" t="s">
        <v>642</v>
      </c>
      <c r="B92" t="s">
        <v>528</v>
      </c>
      <c r="C92" t="s">
        <v>529</v>
      </c>
      <c r="D92" t="s">
        <v>530</v>
      </c>
      <c r="E92" t="s">
        <v>531</v>
      </c>
      <c r="F92">
        <v>2017</v>
      </c>
      <c r="G92" t="s">
        <v>344</v>
      </c>
      <c r="I92" t="s">
        <v>331</v>
      </c>
      <c r="K92" t="s">
        <v>178</v>
      </c>
      <c r="L92" t="s">
        <v>177</v>
      </c>
      <c r="M92" t="s">
        <v>1125</v>
      </c>
      <c r="N92" t="s">
        <v>193</v>
      </c>
      <c r="O92" t="s">
        <v>186</v>
      </c>
      <c r="P92" t="s">
        <v>533</v>
      </c>
      <c r="Q92" t="s">
        <v>186</v>
      </c>
      <c r="R92" t="s">
        <v>533</v>
      </c>
      <c r="S92" t="s">
        <v>208</v>
      </c>
      <c r="U92" t="s">
        <v>1118</v>
      </c>
      <c r="V92" t="s">
        <v>268</v>
      </c>
      <c r="X92" t="s">
        <v>269</v>
      </c>
      <c r="AE92" t="s">
        <v>273</v>
      </c>
      <c r="AG92" t="s">
        <v>275</v>
      </c>
      <c r="AI92" t="s">
        <v>348</v>
      </c>
      <c r="AK92">
        <v>4</v>
      </c>
      <c r="AM92">
        <v>4</v>
      </c>
      <c r="AO92" t="s">
        <v>1104</v>
      </c>
      <c r="AP92" t="s">
        <v>279</v>
      </c>
      <c r="AQ92" t="s">
        <v>283</v>
      </c>
      <c r="AR92" t="s">
        <v>537</v>
      </c>
      <c r="AS92" t="s">
        <v>1094</v>
      </c>
      <c r="AT92">
        <v>65</v>
      </c>
      <c r="AU92" t="s">
        <v>191</v>
      </c>
      <c r="AV92" s="30">
        <v>1</v>
      </c>
      <c r="AW92" t="s">
        <v>287</v>
      </c>
      <c r="AX92" t="s">
        <v>191</v>
      </c>
      <c r="AZ92" t="s">
        <v>829</v>
      </c>
      <c r="BA92">
        <v>0</v>
      </c>
      <c r="BB92" t="s">
        <v>289</v>
      </c>
      <c r="BC92" t="s">
        <v>243</v>
      </c>
      <c r="BE92" t="s">
        <v>434</v>
      </c>
      <c r="BF92" t="s">
        <v>294</v>
      </c>
      <c r="BG92" t="s">
        <v>300</v>
      </c>
      <c r="BH92" t="s">
        <v>191</v>
      </c>
      <c r="BI92">
        <v>1</v>
      </c>
      <c r="BJ92" t="s">
        <v>370</v>
      </c>
      <c r="BK92" t="s">
        <v>539</v>
      </c>
      <c r="BL92" t="s">
        <v>414</v>
      </c>
      <c r="BM92" t="s">
        <v>540</v>
      </c>
      <c r="BN92" t="str">
        <f t="shared" si="4"/>
        <v>control_music.therapy</v>
      </c>
      <c r="BO92" t="s">
        <v>267</v>
      </c>
      <c r="BQ92">
        <v>10</v>
      </c>
      <c r="BR92">
        <v>10</v>
      </c>
      <c r="BS92" s="35">
        <v>41.830065359999999</v>
      </c>
      <c r="BT92" s="35">
        <v>6.6666666670000003</v>
      </c>
      <c r="BU92" s="35">
        <v>21.081851069999999</v>
      </c>
      <c r="BV92" s="35"/>
      <c r="BW92" s="35">
        <v>33.59477124</v>
      </c>
      <c r="BX92" s="35">
        <v>9.0196078429999993</v>
      </c>
      <c r="BY92" s="35">
        <v>28.522504390000002</v>
      </c>
      <c r="CB92" t="s">
        <v>268</v>
      </c>
      <c r="CD92" t="s">
        <v>268</v>
      </c>
      <c r="CE92" t="s">
        <v>191</v>
      </c>
      <c r="CF92" t="s">
        <v>309</v>
      </c>
      <c r="CG92" t="s">
        <v>268</v>
      </c>
      <c r="CI92" t="s">
        <v>268</v>
      </c>
      <c r="CK92" s="30">
        <f t="shared" si="5"/>
        <v>1</v>
      </c>
      <c r="CL92">
        <f t="shared" si="6"/>
        <v>3</v>
      </c>
    </row>
    <row r="93" spans="1:90" hidden="1" x14ac:dyDescent="0.35">
      <c r="A93" t="s">
        <v>643</v>
      </c>
      <c r="B93" t="s">
        <v>528</v>
      </c>
      <c r="C93" t="s">
        <v>529</v>
      </c>
      <c r="D93" t="s">
        <v>530</v>
      </c>
      <c r="E93" t="s">
        <v>531</v>
      </c>
      <c r="F93">
        <v>2017</v>
      </c>
      <c r="G93" t="s">
        <v>344</v>
      </c>
      <c r="I93" t="s">
        <v>332</v>
      </c>
      <c r="K93" t="s">
        <v>178</v>
      </c>
      <c r="L93" t="s">
        <v>177</v>
      </c>
      <c r="M93" t="s">
        <v>1125</v>
      </c>
      <c r="N93" t="s">
        <v>193</v>
      </c>
      <c r="O93" t="s">
        <v>187</v>
      </c>
      <c r="P93" t="s">
        <v>534</v>
      </c>
      <c r="Q93" t="s">
        <v>187</v>
      </c>
      <c r="R93" t="s">
        <v>534</v>
      </c>
      <c r="S93" t="s">
        <v>208</v>
      </c>
      <c r="U93" t="s">
        <v>1118</v>
      </c>
      <c r="V93" t="s">
        <v>268</v>
      </c>
      <c r="X93" t="s">
        <v>269</v>
      </c>
      <c r="AE93" t="s">
        <v>273</v>
      </c>
      <c r="AG93" t="s">
        <v>275</v>
      </c>
      <c r="AI93" t="s">
        <v>352</v>
      </c>
      <c r="AK93">
        <v>4</v>
      </c>
      <c r="AM93">
        <v>4</v>
      </c>
      <c r="AO93" t="s">
        <v>1104</v>
      </c>
      <c r="AP93" t="s">
        <v>279</v>
      </c>
      <c r="AQ93" t="s">
        <v>283</v>
      </c>
      <c r="AR93" t="s">
        <v>537</v>
      </c>
      <c r="AS93" t="s">
        <v>1094</v>
      </c>
      <c r="AT93">
        <v>65</v>
      </c>
      <c r="AU93" t="s">
        <v>191</v>
      </c>
      <c r="AV93" s="30">
        <v>1</v>
      </c>
      <c r="AW93" t="s">
        <v>287</v>
      </c>
      <c r="AX93" t="s">
        <v>191</v>
      </c>
      <c r="AZ93" t="s">
        <v>829</v>
      </c>
      <c r="BA93">
        <v>0</v>
      </c>
      <c r="BB93" t="s">
        <v>289</v>
      </c>
      <c r="BC93" t="s">
        <v>243</v>
      </c>
      <c r="BE93" t="s">
        <v>434</v>
      </c>
      <c r="BF93" t="s">
        <v>294</v>
      </c>
      <c r="BG93" t="s">
        <v>300</v>
      </c>
      <c r="BH93" t="s">
        <v>191</v>
      </c>
      <c r="BI93">
        <v>1</v>
      </c>
      <c r="BJ93" t="s">
        <v>370</v>
      </c>
      <c r="BK93" t="s">
        <v>539</v>
      </c>
      <c r="BL93" t="s">
        <v>414</v>
      </c>
      <c r="BM93" t="s">
        <v>540</v>
      </c>
      <c r="BN93" t="str">
        <f t="shared" ref="BN93:BN118" si="7">_xlfn.CONCAT(BL93:BM93)</f>
        <v>control_music.therapy</v>
      </c>
      <c r="BO93" t="s">
        <v>267</v>
      </c>
      <c r="BQ93">
        <v>10</v>
      </c>
      <c r="BR93">
        <v>10</v>
      </c>
      <c r="BS93" s="35">
        <v>61.307189540000003</v>
      </c>
      <c r="BT93" s="35">
        <v>4.9673202610000002</v>
      </c>
      <c r="BU93" s="35">
        <v>15.708045889999999</v>
      </c>
      <c r="BV93" s="35"/>
      <c r="BW93" s="35">
        <v>59.869281049999998</v>
      </c>
      <c r="BX93" s="35">
        <v>4.4444444440000002</v>
      </c>
      <c r="BY93" s="35">
        <v>14.05456738</v>
      </c>
      <c r="CB93" t="s">
        <v>268</v>
      </c>
      <c r="CD93" t="s">
        <v>268</v>
      </c>
      <c r="CE93" t="s">
        <v>191</v>
      </c>
      <c r="CF93" t="s">
        <v>309</v>
      </c>
      <c r="CG93" t="s">
        <v>268</v>
      </c>
      <c r="CI93" t="s">
        <v>268</v>
      </c>
      <c r="CK93" s="30">
        <f t="shared" si="5"/>
        <v>1</v>
      </c>
      <c r="CL93">
        <f t="shared" si="6"/>
        <v>3</v>
      </c>
    </row>
    <row r="94" spans="1:90" hidden="1" x14ac:dyDescent="0.35">
      <c r="A94" t="s">
        <v>644</v>
      </c>
      <c r="B94" t="s">
        <v>528</v>
      </c>
      <c r="C94" t="s">
        <v>529</v>
      </c>
      <c r="D94" t="s">
        <v>530</v>
      </c>
      <c r="E94" t="s">
        <v>531</v>
      </c>
      <c r="F94">
        <v>2017</v>
      </c>
      <c r="G94" t="s">
        <v>344</v>
      </c>
      <c r="I94" t="s">
        <v>333</v>
      </c>
      <c r="K94" t="s">
        <v>178</v>
      </c>
      <c r="L94" t="s">
        <v>177</v>
      </c>
      <c r="M94" t="s">
        <v>1125</v>
      </c>
      <c r="N94" t="s">
        <v>193</v>
      </c>
      <c r="O94" t="s">
        <v>188</v>
      </c>
      <c r="P94" t="s">
        <v>535</v>
      </c>
      <c r="Q94" t="s">
        <v>188</v>
      </c>
      <c r="R94" t="s">
        <v>535</v>
      </c>
      <c r="S94" t="s">
        <v>208</v>
      </c>
      <c r="U94" t="s">
        <v>1118</v>
      </c>
      <c r="V94" t="s">
        <v>268</v>
      </c>
      <c r="X94" t="s">
        <v>269</v>
      </c>
      <c r="AE94" t="s">
        <v>273</v>
      </c>
      <c r="AG94" t="s">
        <v>275</v>
      </c>
      <c r="AI94" t="s">
        <v>536</v>
      </c>
      <c r="AK94">
        <v>4</v>
      </c>
      <c r="AM94">
        <v>4</v>
      </c>
      <c r="AO94" t="s">
        <v>1104</v>
      </c>
      <c r="AP94" t="s">
        <v>279</v>
      </c>
      <c r="AQ94" t="s">
        <v>283</v>
      </c>
      <c r="AR94" t="s">
        <v>537</v>
      </c>
      <c r="AS94" t="s">
        <v>1094</v>
      </c>
      <c r="AT94">
        <v>65</v>
      </c>
      <c r="AU94" t="s">
        <v>191</v>
      </c>
      <c r="AV94" s="30">
        <v>1</v>
      </c>
      <c r="AW94" t="s">
        <v>287</v>
      </c>
      <c r="AX94" t="s">
        <v>191</v>
      </c>
      <c r="AZ94" t="s">
        <v>829</v>
      </c>
      <c r="BA94">
        <v>0</v>
      </c>
      <c r="BB94" t="s">
        <v>289</v>
      </c>
      <c r="BC94" t="s">
        <v>243</v>
      </c>
      <c r="BE94" t="s">
        <v>434</v>
      </c>
      <c r="BF94" t="s">
        <v>294</v>
      </c>
      <c r="BG94" t="s">
        <v>300</v>
      </c>
      <c r="BH94" t="s">
        <v>191</v>
      </c>
      <c r="BI94">
        <v>1</v>
      </c>
      <c r="BJ94" t="s">
        <v>370</v>
      </c>
      <c r="BK94" t="s">
        <v>539</v>
      </c>
      <c r="BL94" t="s">
        <v>414</v>
      </c>
      <c r="BM94" t="s">
        <v>540</v>
      </c>
      <c r="BN94" t="str">
        <f t="shared" si="7"/>
        <v>control_music.therapy</v>
      </c>
      <c r="BO94" t="s">
        <v>267</v>
      </c>
      <c r="BQ94">
        <v>10</v>
      </c>
      <c r="BR94">
        <v>10</v>
      </c>
      <c r="BS94" s="35">
        <v>42.483660129999997</v>
      </c>
      <c r="BT94" s="35">
        <v>7.7124183009999996</v>
      </c>
      <c r="BU94" s="35">
        <v>24.388808099999999</v>
      </c>
      <c r="BV94" s="35"/>
      <c r="BW94" s="35">
        <v>55.163398690000001</v>
      </c>
      <c r="BX94" s="35">
        <v>6.7973856210000001</v>
      </c>
      <c r="BY94" s="35">
        <v>21.495220700000001</v>
      </c>
      <c r="CB94" t="s">
        <v>268</v>
      </c>
      <c r="CD94" t="s">
        <v>268</v>
      </c>
      <c r="CE94" t="s">
        <v>191</v>
      </c>
      <c r="CF94" t="s">
        <v>309</v>
      </c>
      <c r="CG94" t="s">
        <v>268</v>
      </c>
      <c r="CI94" t="s">
        <v>268</v>
      </c>
      <c r="CK94" s="30">
        <f t="shared" si="5"/>
        <v>1</v>
      </c>
      <c r="CL94">
        <f t="shared" si="6"/>
        <v>3</v>
      </c>
    </row>
    <row r="95" spans="1:90" hidden="1" x14ac:dyDescent="0.35">
      <c r="A95" t="s">
        <v>645</v>
      </c>
      <c r="B95" t="s">
        <v>528</v>
      </c>
      <c r="C95" t="s">
        <v>529</v>
      </c>
      <c r="D95" t="s">
        <v>530</v>
      </c>
      <c r="E95" t="s">
        <v>531</v>
      </c>
      <c r="F95">
        <v>2017</v>
      </c>
      <c r="G95" t="s">
        <v>175</v>
      </c>
      <c r="I95" t="s">
        <v>334</v>
      </c>
      <c r="K95" t="s">
        <v>178</v>
      </c>
      <c r="L95" t="s">
        <v>177</v>
      </c>
      <c r="M95" t="s">
        <v>1125</v>
      </c>
      <c r="N95" t="s">
        <v>179</v>
      </c>
      <c r="O95" t="s">
        <v>185</v>
      </c>
      <c r="P95" t="s">
        <v>532</v>
      </c>
      <c r="Q95" t="s">
        <v>185</v>
      </c>
      <c r="R95" t="s">
        <v>532</v>
      </c>
      <c r="S95" t="s">
        <v>208</v>
      </c>
      <c r="U95" t="s">
        <v>1118</v>
      </c>
      <c r="V95" t="s">
        <v>268</v>
      </c>
      <c r="X95" t="s">
        <v>269</v>
      </c>
      <c r="AE95" t="s">
        <v>273</v>
      </c>
      <c r="AG95" t="s">
        <v>275</v>
      </c>
      <c r="AI95" t="s">
        <v>311</v>
      </c>
      <c r="AK95">
        <v>4</v>
      </c>
      <c r="AM95">
        <v>4</v>
      </c>
      <c r="AO95" t="s">
        <v>1104</v>
      </c>
      <c r="AP95" t="s">
        <v>279</v>
      </c>
      <c r="AQ95" t="s">
        <v>283</v>
      </c>
      <c r="AR95" t="s">
        <v>537</v>
      </c>
      <c r="AS95" t="s">
        <v>1094</v>
      </c>
      <c r="AT95">
        <v>65</v>
      </c>
      <c r="AU95" t="s">
        <v>191</v>
      </c>
      <c r="AV95" s="30">
        <v>1</v>
      </c>
      <c r="AW95" t="s">
        <v>287</v>
      </c>
      <c r="AX95" t="s">
        <v>191</v>
      </c>
      <c r="AZ95" t="s">
        <v>829</v>
      </c>
      <c r="BA95">
        <v>0</v>
      </c>
      <c r="BB95" t="s">
        <v>289</v>
      </c>
      <c r="BC95" t="s">
        <v>239</v>
      </c>
      <c r="BE95" t="s">
        <v>314</v>
      </c>
      <c r="BF95" t="s">
        <v>292</v>
      </c>
      <c r="BG95" t="s">
        <v>298</v>
      </c>
      <c r="BH95" t="s">
        <v>191</v>
      </c>
      <c r="BI95">
        <v>1</v>
      </c>
      <c r="BJ95" t="s">
        <v>315</v>
      </c>
      <c r="BK95" t="s">
        <v>548</v>
      </c>
      <c r="BL95" t="s">
        <v>414</v>
      </c>
      <c r="BM95" t="s">
        <v>540</v>
      </c>
      <c r="BN95" t="str">
        <f t="shared" si="7"/>
        <v>control_music.therapy</v>
      </c>
      <c r="BO95" t="s">
        <v>267</v>
      </c>
      <c r="BQ95">
        <v>10</v>
      </c>
      <c r="BR95">
        <v>10</v>
      </c>
      <c r="BS95" s="35">
        <v>36.327608980000001</v>
      </c>
      <c r="BT95" s="35">
        <v>3.1043593129999998</v>
      </c>
      <c r="BU95" s="35">
        <v>9.8168461049999998</v>
      </c>
      <c r="BV95" s="35"/>
      <c r="BW95" s="35">
        <v>29.854689560000001</v>
      </c>
      <c r="BX95" s="35">
        <v>3.236459709</v>
      </c>
      <c r="BY95" s="35">
        <v>10.23458424</v>
      </c>
      <c r="CB95" t="s">
        <v>268</v>
      </c>
      <c r="CD95" t="s">
        <v>268</v>
      </c>
      <c r="CE95" t="s">
        <v>191</v>
      </c>
      <c r="CF95" t="s">
        <v>309</v>
      </c>
      <c r="CG95" t="s">
        <v>268</v>
      </c>
      <c r="CI95" t="s">
        <v>268</v>
      </c>
      <c r="CK95" s="30">
        <f t="shared" si="5"/>
        <v>1</v>
      </c>
      <c r="CL95">
        <f t="shared" si="6"/>
        <v>3</v>
      </c>
    </row>
    <row r="96" spans="1:90" hidden="1" x14ac:dyDescent="0.35">
      <c r="A96" t="s">
        <v>646</v>
      </c>
      <c r="B96" t="s">
        <v>528</v>
      </c>
      <c r="C96" t="s">
        <v>529</v>
      </c>
      <c r="D96" t="s">
        <v>530</v>
      </c>
      <c r="E96" t="s">
        <v>531</v>
      </c>
      <c r="F96">
        <v>2017</v>
      </c>
      <c r="G96" t="s">
        <v>175</v>
      </c>
      <c r="I96" t="s">
        <v>335</v>
      </c>
      <c r="K96" t="s">
        <v>178</v>
      </c>
      <c r="L96" t="s">
        <v>177</v>
      </c>
      <c r="M96" t="s">
        <v>1125</v>
      </c>
      <c r="N96" t="s">
        <v>179</v>
      </c>
      <c r="O96" t="s">
        <v>186</v>
      </c>
      <c r="P96" t="s">
        <v>533</v>
      </c>
      <c r="Q96" t="s">
        <v>186</v>
      </c>
      <c r="R96" t="s">
        <v>533</v>
      </c>
      <c r="S96" t="s">
        <v>208</v>
      </c>
      <c r="U96" t="s">
        <v>1118</v>
      </c>
      <c r="V96" t="s">
        <v>268</v>
      </c>
      <c r="X96" t="s">
        <v>269</v>
      </c>
      <c r="AE96" t="s">
        <v>273</v>
      </c>
      <c r="AG96" t="s">
        <v>275</v>
      </c>
      <c r="AI96" t="s">
        <v>348</v>
      </c>
      <c r="AK96">
        <v>4</v>
      </c>
      <c r="AM96">
        <v>4</v>
      </c>
      <c r="AO96" t="s">
        <v>1104</v>
      </c>
      <c r="AP96" t="s">
        <v>279</v>
      </c>
      <c r="AQ96" t="s">
        <v>283</v>
      </c>
      <c r="AR96" t="s">
        <v>537</v>
      </c>
      <c r="AS96" t="s">
        <v>1094</v>
      </c>
      <c r="AT96">
        <v>65</v>
      </c>
      <c r="AU96" t="s">
        <v>191</v>
      </c>
      <c r="AV96" s="30">
        <v>1</v>
      </c>
      <c r="AW96" t="s">
        <v>287</v>
      </c>
      <c r="AX96" t="s">
        <v>191</v>
      </c>
      <c r="AZ96" t="s">
        <v>829</v>
      </c>
      <c r="BA96">
        <v>0</v>
      </c>
      <c r="BB96" t="s">
        <v>289</v>
      </c>
      <c r="BC96" t="s">
        <v>239</v>
      </c>
      <c r="BE96" t="s">
        <v>314</v>
      </c>
      <c r="BF96" t="s">
        <v>292</v>
      </c>
      <c r="BG96" t="s">
        <v>298</v>
      </c>
      <c r="BH96" t="s">
        <v>191</v>
      </c>
      <c r="BI96">
        <v>1</v>
      </c>
      <c r="BJ96" t="s">
        <v>315</v>
      </c>
      <c r="BK96" t="s">
        <v>548</v>
      </c>
      <c r="BL96" t="s">
        <v>414</v>
      </c>
      <c r="BM96" t="s">
        <v>540</v>
      </c>
      <c r="BN96" t="str">
        <f t="shared" si="7"/>
        <v>control_music.therapy</v>
      </c>
      <c r="BO96" t="s">
        <v>267</v>
      </c>
      <c r="BQ96">
        <v>10</v>
      </c>
      <c r="BR96">
        <v>10</v>
      </c>
      <c r="BS96" s="35">
        <v>22.25891678</v>
      </c>
      <c r="BT96" s="35">
        <v>5.6803170410000003</v>
      </c>
      <c r="BU96" s="35">
        <v>17.962739679999999</v>
      </c>
      <c r="BV96" s="35"/>
      <c r="BW96" s="35">
        <v>17.833553500000001</v>
      </c>
      <c r="BX96" s="35">
        <v>4.4914134739999998</v>
      </c>
      <c r="BY96" s="35">
        <v>14.20309649</v>
      </c>
      <c r="CB96" t="s">
        <v>268</v>
      </c>
      <c r="CD96" t="s">
        <v>268</v>
      </c>
      <c r="CE96" t="s">
        <v>191</v>
      </c>
      <c r="CF96" t="s">
        <v>309</v>
      </c>
      <c r="CG96" t="s">
        <v>268</v>
      </c>
      <c r="CI96" t="s">
        <v>268</v>
      </c>
      <c r="CK96" s="30">
        <f t="shared" si="5"/>
        <v>1</v>
      </c>
      <c r="CL96">
        <f t="shared" si="6"/>
        <v>3</v>
      </c>
    </row>
    <row r="97" spans="1:90" hidden="1" x14ac:dyDescent="0.35">
      <c r="A97" t="s">
        <v>647</v>
      </c>
      <c r="B97" t="s">
        <v>528</v>
      </c>
      <c r="C97" t="s">
        <v>529</v>
      </c>
      <c r="D97" t="s">
        <v>530</v>
      </c>
      <c r="E97" t="s">
        <v>531</v>
      </c>
      <c r="F97">
        <v>2017</v>
      </c>
      <c r="G97" t="s">
        <v>175</v>
      </c>
      <c r="I97" t="s">
        <v>491</v>
      </c>
      <c r="K97" t="s">
        <v>178</v>
      </c>
      <c r="L97" t="s">
        <v>177</v>
      </c>
      <c r="M97" t="s">
        <v>1125</v>
      </c>
      <c r="N97" t="s">
        <v>179</v>
      </c>
      <c r="O97" t="s">
        <v>187</v>
      </c>
      <c r="P97" t="s">
        <v>534</v>
      </c>
      <c r="Q97" t="s">
        <v>187</v>
      </c>
      <c r="R97" t="s">
        <v>534</v>
      </c>
      <c r="S97" t="s">
        <v>208</v>
      </c>
      <c r="U97" t="s">
        <v>1118</v>
      </c>
      <c r="V97" t="s">
        <v>268</v>
      </c>
      <c r="X97" t="s">
        <v>269</v>
      </c>
      <c r="AE97" t="s">
        <v>273</v>
      </c>
      <c r="AG97" t="s">
        <v>275</v>
      </c>
      <c r="AI97" t="s">
        <v>352</v>
      </c>
      <c r="AK97">
        <v>4</v>
      </c>
      <c r="AM97">
        <v>4</v>
      </c>
      <c r="AO97" t="s">
        <v>1104</v>
      </c>
      <c r="AP97" t="s">
        <v>279</v>
      </c>
      <c r="AQ97" t="s">
        <v>283</v>
      </c>
      <c r="AR97" t="s">
        <v>537</v>
      </c>
      <c r="AS97" t="s">
        <v>1094</v>
      </c>
      <c r="AT97">
        <v>65</v>
      </c>
      <c r="AU97" t="s">
        <v>191</v>
      </c>
      <c r="AV97" s="30">
        <v>1</v>
      </c>
      <c r="AW97" t="s">
        <v>287</v>
      </c>
      <c r="AX97" t="s">
        <v>191</v>
      </c>
      <c r="AZ97" t="s">
        <v>829</v>
      </c>
      <c r="BA97">
        <v>0</v>
      </c>
      <c r="BB97" t="s">
        <v>289</v>
      </c>
      <c r="BC97" t="s">
        <v>239</v>
      </c>
      <c r="BE97" t="s">
        <v>314</v>
      </c>
      <c r="BF97" t="s">
        <v>292</v>
      </c>
      <c r="BG97" t="s">
        <v>298</v>
      </c>
      <c r="BH97" t="s">
        <v>191</v>
      </c>
      <c r="BI97">
        <v>1</v>
      </c>
      <c r="BJ97" t="s">
        <v>315</v>
      </c>
      <c r="BK97" t="s">
        <v>548</v>
      </c>
      <c r="BL97" t="s">
        <v>414</v>
      </c>
      <c r="BM97" t="s">
        <v>540</v>
      </c>
      <c r="BN97" t="str">
        <f t="shared" si="7"/>
        <v>control_music.therapy</v>
      </c>
      <c r="BO97" t="s">
        <v>267</v>
      </c>
      <c r="BQ97">
        <v>10</v>
      </c>
      <c r="BR97">
        <v>10</v>
      </c>
      <c r="BS97" s="35">
        <v>24.240422720000002</v>
      </c>
      <c r="BT97" s="35">
        <v>6.3408190219999998</v>
      </c>
      <c r="BU97" s="35">
        <v>20.05143034</v>
      </c>
      <c r="BV97" s="35"/>
      <c r="BW97" s="35">
        <v>14.2007926</v>
      </c>
      <c r="BX97" s="35">
        <v>4.4914134739999998</v>
      </c>
      <c r="BY97" s="35">
        <v>14.20309649</v>
      </c>
      <c r="CB97" t="s">
        <v>268</v>
      </c>
      <c r="CD97" t="s">
        <v>268</v>
      </c>
      <c r="CE97" t="s">
        <v>191</v>
      </c>
      <c r="CF97" t="s">
        <v>309</v>
      </c>
      <c r="CG97" t="s">
        <v>268</v>
      </c>
      <c r="CI97" t="s">
        <v>268</v>
      </c>
      <c r="CK97" s="30">
        <f t="shared" si="5"/>
        <v>1</v>
      </c>
      <c r="CL97">
        <f t="shared" si="6"/>
        <v>3</v>
      </c>
    </row>
    <row r="98" spans="1:90" hidden="1" x14ac:dyDescent="0.35">
      <c r="A98" t="s">
        <v>648</v>
      </c>
      <c r="B98" t="s">
        <v>528</v>
      </c>
      <c r="C98" t="s">
        <v>529</v>
      </c>
      <c r="D98" t="s">
        <v>530</v>
      </c>
      <c r="E98" t="s">
        <v>531</v>
      </c>
      <c r="F98">
        <v>2017</v>
      </c>
      <c r="G98" t="s">
        <v>175</v>
      </c>
      <c r="I98" t="s">
        <v>492</v>
      </c>
      <c r="K98" t="s">
        <v>178</v>
      </c>
      <c r="L98" t="s">
        <v>177</v>
      </c>
      <c r="M98" t="s">
        <v>1125</v>
      </c>
      <c r="N98" t="s">
        <v>179</v>
      </c>
      <c r="O98" t="s">
        <v>188</v>
      </c>
      <c r="P98" t="s">
        <v>535</v>
      </c>
      <c r="Q98" t="s">
        <v>188</v>
      </c>
      <c r="R98" t="s">
        <v>535</v>
      </c>
      <c r="S98" t="s">
        <v>208</v>
      </c>
      <c r="U98" t="s">
        <v>1118</v>
      </c>
      <c r="V98" t="s">
        <v>268</v>
      </c>
      <c r="X98" t="s">
        <v>269</v>
      </c>
      <c r="AE98" t="s">
        <v>273</v>
      </c>
      <c r="AG98" t="s">
        <v>275</v>
      </c>
      <c r="AI98" t="s">
        <v>536</v>
      </c>
      <c r="AK98">
        <v>4</v>
      </c>
      <c r="AM98">
        <v>4</v>
      </c>
      <c r="AO98" t="s">
        <v>1104</v>
      </c>
      <c r="AP98" t="s">
        <v>279</v>
      </c>
      <c r="AQ98" t="s">
        <v>283</v>
      </c>
      <c r="AR98" t="s">
        <v>537</v>
      </c>
      <c r="AS98" t="s">
        <v>1094</v>
      </c>
      <c r="AT98">
        <v>65</v>
      </c>
      <c r="AU98" t="s">
        <v>191</v>
      </c>
      <c r="AV98" s="30">
        <v>1</v>
      </c>
      <c r="AW98" t="s">
        <v>287</v>
      </c>
      <c r="AX98" t="s">
        <v>191</v>
      </c>
      <c r="AZ98" t="s">
        <v>829</v>
      </c>
      <c r="BA98">
        <v>0</v>
      </c>
      <c r="BB98" t="s">
        <v>289</v>
      </c>
      <c r="BC98" t="s">
        <v>239</v>
      </c>
      <c r="BE98" t="s">
        <v>314</v>
      </c>
      <c r="BF98" t="s">
        <v>292</v>
      </c>
      <c r="BG98" t="s">
        <v>298</v>
      </c>
      <c r="BH98" t="s">
        <v>191</v>
      </c>
      <c r="BI98">
        <v>1</v>
      </c>
      <c r="BJ98" t="s">
        <v>315</v>
      </c>
      <c r="BK98" t="s">
        <v>548</v>
      </c>
      <c r="BL98" t="s">
        <v>414</v>
      </c>
      <c r="BM98" t="s">
        <v>540</v>
      </c>
      <c r="BN98" t="str">
        <f t="shared" si="7"/>
        <v>control_music.therapy</v>
      </c>
      <c r="BO98" t="s">
        <v>267</v>
      </c>
      <c r="BQ98">
        <v>10</v>
      </c>
      <c r="BR98">
        <v>10</v>
      </c>
      <c r="BS98" s="35">
        <v>12.879788639999999</v>
      </c>
      <c r="BT98" s="35">
        <v>5.4161162479999998</v>
      </c>
      <c r="BU98" s="35">
        <v>17.127263419999998</v>
      </c>
      <c r="BV98" s="35"/>
      <c r="BW98" s="35">
        <v>3.3025099080000002</v>
      </c>
      <c r="BX98" s="35">
        <v>3.3025099080000002</v>
      </c>
      <c r="BY98" s="35">
        <v>10.4434533</v>
      </c>
      <c r="CB98" t="s">
        <v>268</v>
      </c>
      <c r="CD98" t="s">
        <v>268</v>
      </c>
      <c r="CE98" t="s">
        <v>191</v>
      </c>
      <c r="CF98" t="s">
        <v>309</v>
      </c>
      <c r="CG98" t="s">
        <v>268</v>
      </c>
      <c r="CI98" t="s">
        <v>268</v>
      </c>
      <c r="CK98" s="30">
        <f t="shared" si="5"/>
        <v>1</v>
      </c>
      <c r="CL98">
        <f t="shared" si="6"/>
        <v>3</v>
      </c>
    </row>
    <row r="99" spans="1:90" hidden="1" x14ac:dyDescent="0.35">
      <c r="A99" t="s">
        <v>649</v>
      </c>
      <c r="B99" t="s">
        <v>528</v>
      </c>
      <c r="C99" t="s">
        <v>529</v>
      </c>
      <c r="D99" t="s">
        <v>530</v>
      </c>
      <c r="E99" t="s">
        <v>531</v>
      </c>
      <c r="F99">
        <v>2017</v>
      </c>
      <c r="G99" t="s">
        <v>175</v>
      </c>
      <c r="I99" t="s">
        <v>493</v>
      </c>
      <c r="K99" t="s">
        <v>178</v>
      </c>
      <c r="L99" t="s">
        <v>177</v>
      </c>
      <c r="M99" t="s">
        <v>1125</v>
      </c>
      <c r="N99" t="s">
        <v>179</v>
      </c>
      <c r="O99" t="s">
        <v>185</v>
      </c>
      <c r="P99" t="s">
        <v>532</v>
      </c>
      <c r="Q99" t="s">
        <v>185</v>
      </c>
      <c r="R99" t="s">
        <v>532</v>
      </c>
      <c r="S99" t="s">
        <v>208</v>
      </c>
      <c r="U99" t="s">
        <v>1118</v>
      </c>
      <c r="V99" t="s">
        <v>268</v>
      </c>
      <c r="X99" t="s">
        <v>269</v>
      </c>
      <c r="AE99" t="s">
        <v>273</v>
      </c>
      <c r="AG99" t="s">
        <v>275</v>
      </c>
      <c r="AI99" t="s">
        <v>311</v>
      </c>
      <c r="AK99">
        <v>4</v>
      </c>
      <c r="AM99">
        <v>4</v>
      </c>
      <c r="AO99" t="s">
        <v>1104</v>
      </c>
      <c r="AP99" t="s">
        <v>279</v>
      </c>
      <c r="AQ99" t="s">
        <v>283</v>
      </c>
      <c r="AR99" t="s">
        <v>537</v>
      </c>
      <c r="AS99" t="s">
        <v>1094</v>
      </c>
      <c r="AT99">
        <v>65</v>
      </c>
      <c r="AU99" t="s">
        <v>191</v>
      </c>
      <c r="AV99" s="30">
        <v>1</v>
      </c>
      <c r="AW99" t="s">
        <v>287</v>
      </c>
      <c r="AX99" t="s">
        <v>191</v>
      </c>
      <c r="AZ99" t="s">
        <v>829</v>
      </c>
      <c r="BA99">
        <v>0</v>
      </c>
      <c r="BB99" t="s">
        <v>289</v>
      </c>
      <c r="BC99" t="s">
        <v>239</v>
      </c>
      <c r="BE99" t="s">
        <v>336</v>
      </c>
      <c r="BF99" t="s">
        <v>292</v>
      </c>
      <c r="BG99" t="s">
        <v>298</v>
      </c>
      <c r="BH99" t="s">
        <v>191</v>
      </c>
      <c r="BI99">
        <v>1</v>
      </c>
      <c r="BJ99" t="s">
        <v>315</v>
      </c>
      <c r="BK99" t="s">
        <v>550</v>
      </c>
      <c r="BL99" t="s">
        <v>414</v>
      </c>
      <c r="BM99" t="s">
        <v>540</v>
      </c>
      <c r="BN99" t="str">
        <f t="shared" si="7"/>
        <v>control_music.therapy</v>
      </c>
      <c r="BO99" t="s">
        <v>267</v>
      </c>
      <c r="BQ99">
        <v>10</v>
      </c>
      <c r="BR99">
        <v>10</v>
      </c>
      <c r="BS99" s="35">
        <v>26.455026459999999</v>
      </c>
      <c r="BT99" s="35">
        <v>5.092592593</v>
      </c>
      <c r="BU99" s="35">
        <v>16.104191790000002</v>
      </c>
      <c r="BV99" s="35"/>
      <c r="BW99" s="35">
        <v>13.029100529999999</v>
      </c>
      <c r="BX99" s="35">
        <v>3.8359788359999998</v>
      </c>
      <c r="BY99" s="35">
        <v>12.130430179999999</v>
      </c>
      <c r="CB99" t="s">
        <v>268</v>
      </c>
      <c r="CD99" t="s">
        <v>268</v>
      </c>
      <c r="CE99" t="s">
        <v>191</v>
      </c>
      <c r="CF99" t="s">
        <v>309</v>
      </c>
      <c r="CG99" t="s">
        <v>268</v>
      </c>
      <c r="CI99" t="s">
        <v>268</v>
      </c>
      <c r="CK99" s="30">
        <f t="shared" si="5"/>
        <v>1</v>
      </c>
      <c r="CL99">
        <f t="shared" si="6"/>
        <v>3</v>
      </c>
    </row>
    <row r="100" spans="1:90" hidden="1" x14ac:dyDescent="0.35">
      <c r="A100" t="s">
        <v>650</v>
      </c>
      <c r="B100" t="s">
        <v>528</v>
      </c>
      <c r="C100" t="s">
        <v>529</v>
      </c>
      <c r="D100" t="s">
        <v>530</v>
      </c>
      <c r="E100" t="s">
        <v>531</v>
      </c>
      <c r="F100">
        <v>2017</v>
      </c>
      <c r="G100" t="s">
        <v>175</v>
      </c>
      <c r="I100" t="s">
        <v>541</v>
      </c>
      <c r="K100" t="s">
        <v>178</v>
      </c>
      <c r="L100" t="s">
        <v>177</v>
      </c>
      <c r="M100" t="s">
        <v>1125</v>
      </c>
      <c r="N100" t="s">
        <v>179</v>
      </c>
      <c r="O100" t="s">
        <v>186</v>
      </c>
      <c r="P100" t="s">
        <v>533</v>
      </c>
      <c r="Q100" t="s">
        <v>186</v>
      </c>
      <c r="R100" t="s">
        <v>533</v>
      </c>
      <c r="S100" t="s">
        <v>208</v>
      </c>
      <c r="U100" t="s">
        <v>1118</v>
      </c>
      <c r="V100" t="s">
        <v>268</v>
      </c>
      <c r="X100" t="s">
        <v>269</v>
      </c>
      <c r="AE100" t="s">
        <v>273</v>
      </c>
      <c r="AG100" t="s">
        <v>275</v>
      </c>
      <c r="AI100" t="s">
        <v>348</v>
      </c>
      <c r="AK100">
        <v>4</v>
      </c>
      <c r="AM100">
        <v>4</v>
      </c>
      <c r="AO100" t="s">
        <v>1104</v>
      </c>
      <c r="AP100" t="s">
        <v>279</v>
      </c>
      <c r="AQ100" t="s">
        <v>283</v>
      </c>
      <c r="AR100" t="s">
        <v>537</v>
      </c>
      <c r="AS100" t="s">
        <v>1094</v>
      </c>
      <c r="AT100">
        <v>65</v>
      </c>
      <c r="AU100" t="s">
        <v>191</v>
      </c>
      <c r="AV100" s="30">
        <v>1</v>
      </c>
      <c r="AW100" t="s">
        <v>287</v>
      </c>
      <c r="AX100" t="s">
        <v>191</v>
      </c>
      <c r="AZ100" t="s">
        <v>829</v>
      </c>
      <c r="BA100">
        <v>0</v>
      </c>
      <c r="BB100" t="s">
        <v>289</v>
      </c>
      <c r="BC100" t="s">
        <v>239</v>
      </c>
      <c r="BE100" t="s">
        <v>336</v>
      </c>
      <c r="BF100" t="s">
        <v>292</v>
      </c>
      <c r="BG100" t="s">
        <v>298</v>
      </c>
      <c r="BH100" t="s">
        <v>191</v>
      </c>
      <c r="BI100">
        <v>1</v>
      </c>
      <c r="BJ100" t="s">
        <v>315</v>
      </c>
      <c r="BK100" t="s">
        <v>550</v>
      </c>
      <c r="BL100" t="s">
        <v>414</v>
      </c>
      <c r="BM100" t="s">
        <v>540</v>
      </c>
      <c r="BN100" t="str">
        <f t="shared" si="7"/>
        <v>control_music.therapy</v>
      </c>
      <c r="BO100" t="s">
        <v>267</v>
      </c>
      <c r="BQ100">
        <v>10</v>
      </c>
      <c r="BR100">
        <v>10</v>
      </c>
      <c r="BS100" s="35">
        <v>11.24338624</v>
      </c>
      <c r="BT100" s="35">
        <v>3.6375661379999999</v>
      </c>
      <c r="BU100" s="35">
        <v>11.502994129999999</v>
      </c>
      <c r="BV100" s="35"/>
      <c r="BW100" s="35">
        <v>8.1349206350000003</v>
      </c>
      <c r="BX100" s="35">
        <v>3.703703704</v>
      </c>
      <c r="BY100" s="35">
        <v>11.712139479999999</v>
      </c>
      <c r="CB100" t="s">
        <v>268</v>
      </c>
      <c r="CD100" t="s">
        <v>268</v>
      </c>
      <c r="CE100" t="s">
        <v>191</v>
      </c>
      <c r="CF100" t="s">
        <v>309</v>
      </c>
      <c r="CG100" t="s">
        <v>268</v>
      </c>
      <c r="CI100" t="s">
        <v>268</v>
      </c>
      <c r="CK100" s="30">
        <f t="shared" si="5"/>
        <v>1</v>
      </c>
      <c r="CL100">
        <f t="shared" si="6"/>
        <v>3</v>
      </c>
    </row>
    <row r="101" spans="1:90" hidden="1" x14ac:dyDescent="0.35">
      <c r="A101" t="s">
        <v>651</v>
      </c>
      <c r="B101" t="s">
        <v>528</v>
      </c>
      <c r="C101" t="s">
        <v>529</v>
      </c>
      <c r="D101" t="s">
        <v>530</v>
      </c>
      <c r="E101" t="s">
        <v>531</v>
      </c>
      <c r="F101">
        <v>2017</v>
      </c>
      <c r="G101" t="s">
        <v>175</v>
      </c>
      <c r="I101" t="s">
        <v>542</v>
      </c>
      <c r="K101" t="s">
        <v>178</v>
      </c>
      <c r="L101" t="s">
        <v>177</v>
      </c>
      <c r="M101" t="s">
        <v>1125</v>
      </c>
      <c r="N101" t="s">
        <v>179</v>
      </c>
      <c r="O101" t="s">
        <v>187</v>
      </c>
      <c r="P101" t="s">
        <v>534</v>
      </c>
      <c r="Q101" t="s">
        <v>187</v>
      </c>
      <c r="R101" t="s">
        <v>534</v>
      </c>
      <c r="S101" t="s">
        <v>208</v>
      </c>
      <c r="U101" t="s">
        <v>1118</v>
      </c>
      <c r="V101" t="s">
        <v>268</v>
      </c>
      <c r="X101" t="s">
        <v>269</v>
      </c>
      <c r="AE101" t="s">
        <v>273</v>
      </c>
      <c r="AG101" t="s">
        <v>275</v>
      </c>
      <c r="AI101" t="s">
        <v>352</v>
      </c>
      <c r="AK101">
        <v>4</v>
      </c>
      <c r="AM101">
        <v>4</v>
      </c>
      <c r="AO101" t="s">
        <v>1104</v>
      </c>
      <c r="AP101" t="s">
        <v>279</v>
      </c>
      <c r="AQ101" t="s">
        <v>283</v>
      </c>
      <c r="AR101" t="s">
        <v>537</v>
      </c>
      <c r="AS101" t="s">
        <v>1094</v>
      </c>
      <c r="AT101">
        <v>65</v>
      </c>
      <c r="AU101" t="s">
        <v>191</v>
      </c>
      <c r="AV101" s="30">
        <v>1</v>
      </c>
      <c r="AW101" t="s">
        <v>287</v>
      </c>
      <c r="AX101" t="s">
        <v>191</v>
      </c>
      <c r="AZ101" t="s">
        <v>829</v>
      </c>
      <c r="BA101">
        <v>0</v>
      </c>
      <c r="BB101" t="s">
        <v>289</v>
      </c>
      <c r="BC101" t="s">
        <v>239</v>
      </c>
      <c r="BE101" t="s">
        <v>336</v>
      </c>
      <c r="BF101" t="s">
        <v>292</v>
      </c>
      <c r="BG101" t="s">
        <v>298</v>
      </c>
      <c r="BH101" t="s">
        <v>191</v>
      </c>
      <c r="BI101">
        <v>1</v>
      </c>
      <c r="BJ101" t="s">
        <v>315</v>
      </c>
      <c r="BK101" t="s">
        <v>550</v>
      </c>
      <c r="BL101" t="s">
        <v>414</v>
      </c>
      <c r="BM101" t="s">
        <v>540</v>
      </c>
      <c r="BN101" t="str">
        <f t="shared" si="7"/>
        <v>control_music.therapy</v>
      </c>
      <c r="BO101" t="s">
        <v>267</v>
      </c>
      <c r="BQ101">
        <v>10</v>
      </c>
      <c r="BR101">
        <v>10</v>
      </c>
      <c r="BS101" s="35">
        <v>8.7962962959999995</v>
      </c>
      <c r="BT101" s="35">
        <v>4.563492063</v>
      </c>
      <c r="BU101" s="35">
        <v>14.431029000000001</v>
      </c>
      <c r="BV101" s="35"/>
      <c r="BW101" s="35">
        <v>5.2910052910000003</v>
      </c>
      <c r="BX101" s="35">
        <v>2.3148148150000001</v>
      </c>
      <c r="BY101" s="35">
        <v>7.3200871760000004</v>
      </c>
      <c r="CB101" t="s">
        <v>268</v>
      </c>
      <c r="CD101" t="s">
        <v>268</v>
      </c>
      <c r="CE101" t="s">
        <v>191</v>
      </c>
      <c r="CF101" t="s">
        <v>309</v>
      </c>
      <c r="CG101" t="s">
        <v>268</v>
      </c>
      <c r="CI101" t="s">
        <v>268</v>
      </c>
      <c r="CK101" s="30">
        <f t="shared" si="5"/>
        <v>1</v>
      </c>
      <c r="CL101">
        <f t="shared" si="6"/>
        <v>3</v>
      </c>
    </row>
    <row r="102" spans="1:90" hidden="1" x14ac:dyDescent="0.35">
      <c r="A102" t="s">
        <v>652</v>
      </c>
      <c r="B102" t="s">
        <v>528</v>
      </c>
      <c r="C102" t="s">
        <v>529</v>
      </c>
      <c r="D102" t="s">
        <v>530</v>
      </c>
      <c r="E102" t="s">
        <v>531</v>
      </c>
      <c r="F102">
        <v>2017</v>
      </c>
      <c r="G102" t="s">
        <v>175</v>
      </c>
      <c r="I102" t="s">
        <v>543</v>
      </c>
      <c r="K102" t="s">
        <v>178</v>
      </c>
      <c r="L102" t="s">
        <v>177</v>
      </c>
      <c r="M102" t="s">
        <v>1125</v>
      </c>
      <c r="N102" t="s">
        <v>179</v>
      </c>
      <c r="O102" t="s">
        <v>188</v>
      </c>
      <c r="P102" t="s">
        <v>535</v>
      </c>
      <c r="Q102" t="s">
        <v>188</v>
      </c>
      <c r="R102" t="s">
        <v>535</v>
      </c>
      <c r="S102" t="s">
        <v>208</v>
      </c>
      <c r="U102" t="s">
        <v>1118</v>
      </c>
      <c r="V102" t="s">
        <v>268</v>
      </c>
      <c r="X102" t="s">
        <v>269</v>
      </c>
      <c r="AE102" t="s">
        <v>273</v>
      </c>
      <c r="AG102" t="s">
        <v>275</v>
      </c>
      <c r="AI102" t="s">
        <v>536</v>
      </c>
      <c r="AK102">
        <v>4</v>
      </c>
      <c r="AM102">
        <v>4</v>
      </c>
      <c r="AO102" t="s">
        <v>1104</v>
      </c>
      <c r="AP102" t="s">
        <v>279</v>
      </c>
      <c r="AQ102" t="s">
        <v>283</v>
      </c>
      <c r="AR102" t="s">
        <v>537</v>
      </c>
      <c r="AS102" t="s">
        <v>1094</v>
      </c>
      <c r="AT102">
        <v>65</v>
      </c>
      <c r="AU102" t="s">
        <v>191</v>
      </c>
      <c r="AV102" s="30">
        <v>1</v>
      </c>
      <c r="AW102" t="s">
        <v>287</v>
      </c>
      <c r="AX102" t="s">
        <v>191</v>
      </c>
      <c r="AZ102" t="s">
        <v>829</v>
      </c>
      <c r="BA102">
        <v>0</v>
      </c>
      <c r="BB102" t="s">
        <v>289</v>
      </c>
      <c r="BC102" t="s">
        <v>239</v>
      </c>
      <c r="BE102" t="s">
        <v>336</v>
      </c>
      <c r="BF102" t="s">
        <v>292</v>
      </c>
      <c r="BG102" t="s">
        <v>298</v>
      </c>
      <c r="BH102" t="s">
        <v>191</v>
      </c>
      <c r="BI102">
        <v>1</v>
      </c>
      <c r="BJ102" t="s">
        <v>315</v>
      </c>
      <c r="BK102" t="s">
        <v>550</v>
      </c>
      <c r="BL102" t="s">
        <v>414</v>
      </c>
      <c r="BM102" t="s">
        <v>540</v>
      </c>
      <c r="BN102" t="str">
        <f t="shared" si="7"/>
        <v>control_music.therapy</v>
      </c>
      <c r="BO102" t="s">
        <v>267</v>
      </c>
      <c r="BQ102">
        <v>10</v>
      </c>
      <c r="BR102">
        <v>10</v>
      </c>
      <c r="BS102" s="35">
        <v>3.8359788359999998</v>
      </c>
      <c r="BT102" s="35">
        <v>1.851851852</v>
      </c>
      <c r="BU102" s="35">
        <v>5.8560697409999998</v>
      </c>
      <c r="BV102" s="35"/>
      <c r="BW102" s="35">
        <v>0.33068783099999999</v>
      </c>
      <c r="BX102" s="35">
        <v>0.661375661</v>
      </c>
      <c r="BY102" s="35">
        <v>2.0914534790000001</v>
      </c>
      <c r="CB102" t="s">
        <v>268</v>
      </c>
      <c r="CD102" t="s">
        <v>268</v>
      </c>
      <c r="CE102" t="s">
        <v>191</v>
      </c>
      <c r="CF102" t="s">
        <v>309</v>
      </c>
      <c r="CG102" t="s">
        <v>268</v>
      </c>
      <c r="CI102" t="s">
        <v>268</v>
      </c>
      <c r="CK102" s="30">
        <f t="shared" si="5"/>
        <v>1</v>
      </c>
      <c r="CL102">
        <f t="shared" si="6"/>
        <v>3</v>
      </c>
    </row>
    <row r="103" spans="1:90" hidden="1" x14ac:dyDescent="0.35">
      <c r="A103" t="s">
        <v>653</v>
      </c>
      <c r="B103" t="s">
        <v>528</v>
      </c>
      <c r="C103" t="s">
        <v>529</v>
      </c>
      <c r="D103" t="s">
        <v>530</v>
      </c>
      <c r="E103" t="s">
        <v>531</v>
      </c>
      <c r="F103">
        <v>2017</v>
      </c>
      <c r="G103" t="s">
        <v>175</v>
      </c>
      <c r="I103" t="s">
        <v>544</v>
      </c>
      <c r="K103" t="s">
        <v>178</v>
      </c>
      <c r="L103" t="s">
        <v>177</v>
      </c>
      <c r="M103" t="s">
        <v>1125</v>
      </c>
      <c r="N103" t="s">
        <v>179</v>
      </c>
      <c r="O103" t="s">
        <v>185</v>
      </c>
      <c r="P103" t="s">
        <v>532</v>
      </c>
      <c r="Q103" t="s">
        <v>185</v>
      </c>
      <c r="R103" t="s">
        <v>532</v>
      </c>
      <c r="S103" t="s">
        <v>208</v>
      </c>
      <c r="U103" t="s">
        <v>1118</v>
      </c>
      <c r="V103" t="s">
        <v>268</v>
      </c>
      <c r="X103" t="s">
        <v>269</v>
      </c>
      <c r="AE103" t="s">
        <v>273</v>
      </c>
      <c r="AG103" t="s">
        <v>275</v>
      </c>
      <c r="AI103" t="s">
        <v>311</v>
      </c>
      <c r="AK103">
        <v>4</v>
      </c>
      <c r="AM103">
        <v>4</v>
      </c>
      <c r="AO103" t="s">
        <v>1104</v>
      </c>
      <c r="AP103" t="s">
        <v>279</v>
      </c>
      <c r="AQ103" t="s">
        <v>283</v>
      </c>
      <c r="AR103" t="s">
        <v>537</v>
      </c>
      <c r="AS103" t="s">
        <v>1094</v>
      </c>
      <c r="AT103">
        <v>65</v>
      </c>
      <c r="AU103" t="s">
        <v>191</v>
      </c>
      <c r="AV103" s="30">
        <v>1</v>
      </c>
      <c r="AW103" t="s">
        <v>287</v>
      </c>
      <c r="AX103" t="s">
        <v>191</v>
      </c>
      <c r="AZ103" t="s">
        <v>829</v>
      </c>
      <c r="BA103">
        <v>0</v>
      </c>
      <c r="BB103" t="s">
        <v>289</v>
      </c>
      <c r="BC103" t="s">
        <v>239</v>
      </c>
      <c r="BE103" t="s">
        <v>321</v>
      </c>
      <c r="BF103" t="s">
        <v>294</v>
      </c>
      <c r="BG103" t="s">
        <v>300</v>
      </c>
      <c r="BH103" t="s">
        <v>191</v>
      </c>
      <c r="BI103">
        <v>1</v>
      </c>
      <c r="BJ103" t="s">
        <v>315</v>
      </c>
      <c r="BK103" t="s">
        <v>552</v>
      </c>
      <c r="BL103" t="s">
        <v>414</v>
      </c>
      <c r="BM103" t="s">
        <v>540</v>
      </c>
      <c r="BN103" t="str">
        <f t="shared" si="7"/>
        <v>control_music.therapy</v>
      </c>
      <c r="BO103" t="s">
        <v>268</v>
      </c>
      <c r="BQ103">
        <v>10</v>
      </c>
      <c r="BR103">
        <v>10</v>
      </c>
      <c r="BS103" s="35">
        <v>6.9614361699999998</v>
      </c>
      <c r="BT103" s="35">
        <v>0.81781914899999997</v>
      </c>
      <c r="BU103" s="35">
        <v>2.5861712250000002</v>
      </c>
      <c r="BV103" s="35"/>
      <c r="BW103" s="35">
        <v>6.0438829790000002</v>
      </c>
      <c r="BX103" s="35">
        <v>0.63829787199999999</v>
      </c>
      <c r="BY103" s="35">
        <v>2.018475102</v>
      </c>
      <c r="CB103" t="s">
        <v>268</v>
      </c>
      <c r="CD103" t="s">
        <v>268</v>
      </c>
      <c r="CE103" t="s">
        <v>191</v>
      </c>
      <c r="CF103" t="s">
        <v>309</v>
      </c>
      <c r="CG103" t="s">
        <v>268</v>
      </c>
      <c r="CI103" t="s">
        <v>268</v>
      </c>
      <c r="CK103" s="30">
        <f t="shared" si="5"/>
        <v>1</v>
      </c>
      <c r="CL103">
        <f t="shared" si="6"/>
        <v>3</v>
      </c>
    </row>
    <row r="104" spans="1:90" hidden="1" x14ac:dyDescent="0.35">
      <c r="A104" t="s">
        <v>654</v>
      </c>
      <c r="B104" t="s">
        <v>528</v>
      </c>
      <c r="C104" t="s">
        <v>529</v>
      </c>
      <c r="D104" t="s">
        <v>530</v>
      </c>
      <c r="E104" t="s">
        <v>531</v>
      </c>
      <c r="F104">
        <v>2017</v>
      </c>
      <c r="G104" t="s">
        <v>175</v>
      </c>
      <c r="I104" t="s">
        <v>545</v>
      </c>
      <c r="K104" t="s">
        <v>178</v>
      </c>
      <c r="L104" t="s">
        <v>177</v>
      </c>
      <c r="M104" t="s">
        <v>1125</v>
      </c>
      <c r="N104" t="s">
        <v>179</v>
      </c>
      <c r="O104" t="s">
        <v>186</v>
      </c>
      <c r="P104" t="s">
        <v>533</v>
      </c>
      <c r="Q104" t="s">
        <v>186</v>
      </c>
      <c r="R104" t="s">
        <v>533</v>
      </c>
      <c r="S104" t="s">
        <v>208</v>
      </c>
      <c r="U104" t="s">
        <v>1118</v>
      </c>
      <c r="V104" t="s">
        <v>268</v>
      </c>
      <c r="X104" t="s">
        <v>269</v>
      </c>
      <c r="AE104" t="s">
        <v>273</v>
      </c>
      <c r="AG104" t="s">
        <v>275</v>
      </c>
      <c r="AI104" t="s">
        <v>348</v>
      </c>
      <c r="AK104">
        <v>4</v>
      </c>
      <c r="AM104">
        <v>4</v>
      </c>
      <c r="AO104" t="s">
        <v>1104</v>
      </c>
      <c r="AP104" t="s">
        <v>279</v>
      </c>
      <c r="AQ104" t="s">
        <v>283</v>
      </c>
      <c r="AR104" t="s">
        <v>537</v>
      </c>
      <c r="AS104" t="s">
        <v>1094</v>
      </c>
      <c r="AT104">
        <v>65</v>
      </c>
      <c r="AU104" t="s">
        <v>191</v>
      </c>
      <c r="AV104" s="30">
        <v>1</v>
      </c>
      <c r="AW104" t="s">
        <v>287</v>
      </c>
      <c r="AX104" t="s">
        <v>191</v>
      </c>
      <c r="AZ104" t="s">
        <v>829</v>
      </c>
      <c r="BA104">
        <v>0</v>
      </c>
      <c r="BB104" t="s">
        <v>289</v>
      </c>
      <c r="BC104" t="s">
        <v>239</v>
      </c>
      <c r="BE104" t="s">
        <v>321</v>
      </c>
      <c r="BF104" t="s">
        <v>294</v>
      </c>
      <c r="BG104" t="s">
        <v>300</v>
      </c>
      <c r="BH104" t="s">
        <v>191</v>
      </c>
      <c r="BI104">
        <v>1</v>
      </c>
      <c r="BJ104" t="s">
        <v>315</v>
      </c>
      <c r="BK104" t="s">
        <v>552</v>
      </c>
      <c r="BL104" t="s">
        <v>414</v>
      </c>
      <c r="BM104" t="s">
        <v>540</v>
      </c>
      <c r="BN104" t="str">
        <f t="shared" si="7"/>
        <v>control_music.therapy</v>
      </c>
      <c r="BO104" t="s">
        <v>268</v>
      </c>
      <c r="BQ104">
        <v>10</v>
      </c>
      <c r="BR104">
        <v>10</v>
      </c>
      <c r="BS104" s="35">
        <v>6.0638297870000004</v>
      </c>
      <c r="BT104" s="35">
        <v>0.91755319099999999</v>
      </c>
      <c r="BU104" s="35">
        <v>2.9015579589999998</v>
      </c>
      <c r="BV104" s="35"/>
      <c r="BW104" s="35">
        <v>4.8869680850000004</v>
      </c>
      <c r="BX104" s="35">
        <v>0.79787233999999996</v>
      </c>
      <c r="BY104" s="35">
        <v>2.5230938780000001</v>
      </c>
      <c r="CB104" t="s">
        <v>268</v>
      </c>
      <c r="CD104" t="s">
        <v>268</v>
      </c>
      <c r="CE104" t="s">
        <v>191</v>
      </c>
      <c r="CF104" t="s">
        <v>309</v>
      </c>
      <c r="CG104" t="s">
        <v>268</v>
      </c>
      <c r="CI104" t="s">
        <v>268</v>
      </c>
      <c r="CK104" s="30">
        <f t="shared" si="5"/>
        <v>1</v>
      </c>
      <c r="CL104">
        <f t="shared" si="6"/>
        <v>3</v>
      </c>
    </row>
    <row r="105" spans="1:90" hidden="1" x14ac:dyDescent="0.35">
      <c r="A105" t="s">
        <v>655</v>
      </c>
      <c r="B105" t="s">
        <v>528</v>
      </c>
      <c r="C105" t="s">
        <v>529</v>
      </c>
      <c r="D105" t="s">
        <v>530</v>
      </c>
      <c r="E105" t="s">
        <v>531</v>
      </c>
      <c r="F105">
        <v>2017</v>
      </c>
      <c r="G105" t="s">
        <v>175</v>
      </c>
      <c r="I105" t="s">
        <v>546</v>
      </c>
      <c r="K105" t="s">
        <v>178</v>
      </c>
      <c r="L105" t="s">
        <v>177</v>
      </c>
      <c r="M105" t="s">
        <v>1125</v>
      </c>
      <c r="N105" t="s">
        <v>179</v>
      </c>
      <c r="O105" t="s">
        <v>187</v>
      </c>
      <c r="P105" t="s">
        <v>534</v>
      </c>
      <c r="Q105" t="s">
        <v>187</v>
      </c>
      <c r="R105" t="s">
        <v>534</v>
      </c>
      <c r="S105" t="s">
        <v>208</v>
      </c>
      <c r="U105" t="s">
        <v>1118</v>
      </c>
      <c r="V105" t="s">
        <v>268</v>
      </c>
      <c r="X105" t="s">
        <v>269</v>
      </c>
      <c r="AE105" t="s">
        <v>273</v>
      </c>
      <c r="AG105" t="s">
        <v>275</v>
      </c>
      <c r="AI105" t="s">
        <v>352</v>
      </c>
      <c r="AK105">
        <v>4</v>
      </c>
      <c r="AM105">
        <v>4</v>
      </c>
      <c r="AO105" t="s">
        <v>1104</v>
      </c>
      <c r="AP105" t="s">
        <v>279</v>
      </c>
      <c r="AQ105" t="s">
        <v>283</v>
      </c>
      <c r="AR105" t="s">
        <v>537</v>
      </c>
      <c r="AS105" t="s">
        <v>1094</v>
      </c>
      <c r="AT105">
        <v>65</v>
      </c>
      <c r="AU105" t="s">
        <v>191</v>
      </c>
      <c r="AV105" s="30">
        <v>1</v>
      </c>
      <c r="AW105" t="s">
        <v>287</v>
      </c>
      <c r="AX105" t="s">
        <v>191</v>
      </c>
      <c r="AZ105" t="s">
        <v>829</v>
      </c>
      <c r="BA105">
        <v>0</v>
      </c>
      <c r="BB105" t="s">
        <v>289</v>
      </c>
      <c r="BC105" t="s">
        <v>239</v>
      </c>
      <c r="BE105" t="s">
        <v>321</v>
      </c>
      <c r="BF105" t="s">
        <v>294</v>
      </c>
      <c r="BG105" t="s">
        <v>300</v>
      </c>
      <c r="BH105" t="s">
        <v>191</v>
      </c>
      <c r="BI105">
        <v>1</v>
      </c>
      <c r="BJ105" t="s">
        <v>315</v>
      </c>
      <c r="BK105" t="s">
        <v>552</v>
      </c>
      <c r="BL105" t="s">
        <v>414</v>
      </c>
      <c r="BM105" t="s">
        <v>540</v>
      </c>
      <c r="BN105" t="str">
        <f t="shared" si="7"/>
        <v>control_music.therapy</v>
      </c>
      <c r="BO105" t="s">
        <v>268</v>
      </c>
      <c r="BQ105">
        <v>10</v>
      </c>
      <c r="BR105">
        <v>10</v>
      </c>
      <c r="BS105" s="35">
        <v>4.7672872340000003</v>
      </c>
      <c r="BT105" s="35">
        <v>0.49867021299999997</v>
      </c>
      <c r="BU105" s="35">
        <v>1.576933674</v>
      </c>
      <c r="BV105" s="35"/>
      <c r="BW105" s="35">
        <v>4.2885638300000002</v>
      </c>
      <c r="BX105" s="35">
        <v>0.87765957400000005</v>
      </c>
      <c r="BY105" s="35">
        <v>2.7754032660000001</v>
      </c>
      <c r="CB105" t="s">
        <v>268</v>
      </c>
      <c r="CD105" t="s">
        <v>268</v>
      </c>
      <c r="CE105" t="s">
        <v>191</v>
      </c>
      <c r="CF105" t="s">
        <v>309</v>
      </c>
      <c r="CG105" t="s">
        <v>268</v>
      </c>
      <c r="CI105" t="s">
        <v>268</v>
      </c>
      <c r="CK105" s="30">
        <f t="shared" si="5"/>
        <v>1</v>
      </c>
      <c r="CL105">
        <f t="shared" si="6"/>
        <v>3</v>
      </c>
    </row>
    <row r="106" spans="1:90" hidden="1" x14ac:dyDescent="0.35">
      <c r="A106" t="s">
        <v>656</v>
      </c>
      <c r="B106" t="s">
        <v>528</v>
      </c>
      <c r="C106" t="s">
        <v>529</v>
      </c>
      <c r="D106" t="s">
        <v>530</v>
      </c>
      <c r="E106" t="s">
        <v>531</v>
      </c>
      <c r="F106">
        <v>2017</v>
      </c>
      <c r="G106" t="s">
        <v>175</v>
      </c>
      <c r="I106" t="s">
        <v>547</v>
      </c>
      <c r="K106" t="s">
        <v>178</v>
      </c>
      <c r="L106" t="s">
        <v>177</v>
      </c>
      <c r="M106" t="s">
        <v>1125</v>
      </c>
      <c r="N106" t="s">
        <v>179</v>
      </c>
      <c r="O106" t="s">
        <v>188</v>
      </c>
      <c r="P106" t="s">
        <v>535</v>
      </c>
      <c r="Q106" t="s">
        <v>188</v>
      </c>
      <c r="R106" t="s">
        <v>535</v>
      </c>
      <c r="S106" t="s">
        <v>208</v>
      </c>
      <c r="U106" t="s">
        <v>1118</v>
      </c>
      <c r="V106" t="s">
        <v>268</v>
      </c>
      <c r="X106" t="s">
        <v>269</v>
      </c>
      <c r="AE106" t="s">
        <v>273</v>
      </c>
      <c r="AG106" t="s">
        <v>275</v>
      </c>
      <c r="AI106" t="s">
        <v>536</v>
      </c>
      <c r="AK106">
        <v>4</v>
      </c>
      <c r="AM106">
        <v>4</v>
      </c>
      <c r="AO106" t="s">
        <v>1104</v>
      </c>
      <c r="AP106" t="s">
        <v>279</v>
      </c>
      <c r="AQ106" t="s">
        <v>283</v>
      </c>
      <c r="AR106" t="s">
        <v>537</v>
      </c>
      <c r="AS106" t="s">
        <v>1094</v>
      </c>
      <c r="AT106">
        <v>65</v>
      </c>
      <c r="AU106" t="s">
        <v>191</v>
      </c>
      <c r="AV106" s="30">
        <v>1</v>
      </c>
      <c r="AW106" t="s">
        <v>287</v>
      </c>
      <c r="AX106" t="s">
        <v>191</v>
      </c>
      <c r="AZ106" t="s">
        <v>829</v>
      </c>
      <c r="BA106">
        <v>0</v>
      </c>
      <c r="BB106" t="s">
        <v>289</v>
      </c>
      <c r="BC106" t="s">
        <v>239</v>
      </c>
      <c r="BE106" t="s">
        <v>321</v>
      </c>
      <c r="BF106" t="s">
        <v>294</v>
      </c>
      <c r="BG106" t="s">
        <v>300</v>
      </c>
      <c r="BH106" t="s">
        <v>191</v>
      </c>
      <c r="BI106">
        <v>1</v>
      </c>
      <c r="BJ106" t="s">
        <v>315</v>
      </c>
      <c r="BK106" t="s">
        <v>552</v>
      </c>
      <c r="BL106" t="s">
        <v>414</v>
      </c>
      <c r="BM106" t="s">
        <v>540</v>
      </c>
      <c r="BN106" t="str">
        <f t="shared" si="7"/>
        <v>control_music.therapy</v>
      </c>
      <c r="BO106" t="s">
        <v>268</v>
      </c>
      <c r="BQ106">
        <v>10</v>
      </c>
      <c r="BR106">
        <v>10</v>
      </c>
      <c r="BS106" s="35">
        <v>3.1715425530000001</v>
      </c>
      <c r="BT106" s="35">
        <v>0.53856382999999997</v>
      </c>
      <c r="BU106" s="35">
        <v>1.703088368</v>
      </c>
      <c r="BV106" s="35"/>
      <c r="BW106" s="35">
        <v>2.1941489359999999</v>
      </c>
      <c r="BX106" s="35">
        <v>0.35904255299999999</v>
      </c>
      <c r="BY106" s="35">
        <v>1.135392245</v>
      </c>
      <c r="CB106" t="s">
        <v>268</v>
      </c>
      <c r="CD106" t="s">
        <v>268</v>
      </c>
      <c r="CE106" t="s">
        <v>191</v>
      </c>
      <c r="CF106" t="s">
        <v>309</v>
      </c>
      <c r="CG106" t="s">
        <v>268</v>
      </c>
      <c r="CI106" t="s">
        <v>268</v>
      </c>
      <c r="CK106" s="30">
        <f t="shared" si="5"/>
        <v>1</v>
      </c>
      <c r="CL106">
        <f t="shared" si="6"/>
        <v>3</v>
      </c>
    </row>
    <row r="107" spans="1:90" hidden="1" x14ac:dyDescent="0.35">
      <c r="A107" t="s">
        <v>657</v>
      </c>
      <c r="B107" t="s">
        <v>528</v>
      </c>
      <c r="C107" t="s">
        <v>529</v>
      </c>
      <c r="D107" t="s">
        <v>530</v>
      </c>
      <c r="E107" t="s">
        <v>531</v>
      </c>
      <c r="F107">
        <v>2017</v>
      </c>
      <c r="G107" t="s">
        <v>344</v>
      </c>
      <c r="I107" t="s">
        <v>334</v>
      </c>
      <c r="K107" t="s">
        <v>178</v>
      </c>
      <c r="L107" t="s">
        <v>177</v>
      </c>
      <c r="M107" t="s">
        <v>1125</v>
      </c>
      <c r="N107" t="s">
        <v>193</v>
      </c>
      <c r="O107" t="s">
        <v>185</v>
      </c>
      <c r="P107" t="s">
        <v>532</v>
      </c>
      <c r="Q107" t="s">
        <v>185</v>
      </c>
      <c r="R107" t="s">
        <v>532</v>
      </c>
      <c r="S107" t="s">
        <v>208</v>
      </c>
      <c r="U107" t="s">
        <v>1118</v>
      </c>
      <c r="V107" t="s">
        <v>268</v>
      </c>
      <c r="X107" t="s">
        <v>269</v>
      </c>
      <c r="AE107" t="s">
        <v>273</v>
      </c>
      <c r="AG107" t="s">
        <v>275</v>
      </c>
      <c r="AI107" t="s">
        <v>311</v>
      </c>
      <c r="AK107">
        <v>4</v>
      </c>
      <c r="AM107">
        <v>4</v>
      </c>
      <c r="AO107" t="s">
        <v>1104</v>
      </c>
      <c r="AP107" t="s">
        <v>279</v>
      </c>
      <c r="AQ107" t="s">
        <v>283</v>
      </c>
      <c r="AR107" t="s">
        <v>537</v>
      </c>
      <c r="AS107" t="s">
        <v>1094</v>
      </c>
      <c r="AT107">
        <v>65</v>
      </c>
      <c r="AU107" t="s">
        <v>191</v>
      </c>
      <c r="AV107" s="30">
        <v>1</v>
      </c>
      <c r="AW107" t="s">
        <v>287</v>
      </c>
      <c r="AX107" t="s">
        <v>191</v>
      </c>
      <c r="AZ107" t="s">
        <v>829</v>
      </c>
      <c r="BA107">
        <v>0</v>
      </c>
      <c r="BB107" t="s">
        <v>289</v>
      </c>
      <c r="BC107" t="s">
        <v>239</v>
      </c>
      <c r="BE107" t="s">
        <v>314</v>
      </c>
      <c r="BF107" t="s">
        <v>292</v>
      </c>
      <c r="BG107" t="s">
        <v>298</v>
      </c>
      <c r="BH107" t="s">
        <v>191</v>
      </c>
      <c r="BI107">
        <v>1</v>
      </c>
      <c r="BJ107" t="s">
        <v>315</v>
      </c>
      <c r="BK107" t="s">
        <v>549</v>
      </c>
      <c r="BL107" t="s">
        <v>414</v>
      </c>
      <c r="BM107" t="s">
        <v>540</v>
      </c>
      <c r="BN107" t="str">
        <f t="shared" si="7"/>
        <v>control_music.therapy</v>
      </c>
      <c r="BO107" t="s">
        <v>267</v>
      </c>
      <c r="BQ107">
        <v>10</v>
      </c>
      <c r="BR107">
        <v>10</v>
      </c>
      <c r="BS107" s="35">
        <v>33.534136549999999</v>
      </c>
      <c r="BT107" s="35">
        <v>4.7523427040000001</v>
      </c>
      <c r="BU107" s="35">
        <v>15.028227169999999</v>
      </c>
      <c r="BV107" s="35"/>
      <c r="BW107" s="35">
        <v>29.38420348</v>
      </c>
      <c r="BX107" s="35">
        <v>2.6773761710000001</v>
      </c>
      <c r="BY107" s="35">
        <v>8.4666068550000002</v>
      </c>
      <c r="CB107" t="s">
        <v>268</v>
      </c>
      <c r="CD107" t="s">
        <v>268</v>
      </c>
      <c r="CE107" t="s">
        <v>191</v>
      </c>
      <c r="CF107" t="s">
        <v>309</v>
      </c>
      <c r="CG107" t="s">
        <v>268</v>
      </c>
      <c r="CI107" t="s">
        <v>268</v>
      </c>
      <c r="CK107" s="30">
        <f t="shared" si="5"/>
        <v>1</v>
      </c>
      <c r="CL107">
        <f t="shared" si="6"/>
        <v>3</v>
      </c>
    </row>
    <row r="108" spans="1:90" hidden="1" x14ac:dyDescent="0.35">
      <c r="A108" t="s">
        <v>658</v>
      </c>
      <c r="B108" t="s">
        <v>528</v>
      </c>
      <c r="C108" t="s">
        <v>529</v>
      </c>
      <c r="D108" t="s">
        <v>530</v>
      </c>
      <c r="E108" t="s">
        <v>531</v>
      </c>
      <c r="F108">
        <v>2017</v>
      </c>
      <c r="G108" t="s">
        <v>344</v>
      </c>
      <c r="I108" t="s">
        <v>335</v>
      </c>
      <c r="K108" t="s">
        <v>178</v>
      </c>
      <c r="L108" t="s">
        <v>177</v>
      </c>
      <c r="M108" t="s">
        <v>1125</v>
      </c>
      <c r="N108" t="s">
        <v>193</v>
      </c>
      <c r="O108" t="s">
        <v>186</v>
      </c>
      <c r="P108" t="s">
        <v>533</v>
      </c>
      <c r="Q108" t="s">
        <v>186</v>
      </c>
      <c r="R108" t="s">
        <v>533</v>
      </c>
      <c r="S108" t="s">
        <v>208</v>
      </c>
      <c r="U108" t="s">
        <v>1118</v>
      </c>
      <c r="V108" t="s">
        <v>268</v>
      </c>
      <c r="X108" t="s">
        <v>269</v>
      </c>
      <c r="AE108" t="s">
        <v>273</v>
      </c>
      <c r="AG108" t="s">
        <v>275</v>
      </c>
      <c r="AI108" t="s">
        <v>348</v>
      </c>
      <c r="AK108">
        <v>4</v>
      </c>
      <c r="AM108">
        <v>4</v>
      </c>
      <c r="AO108" t="s">
        <v>1104</v>
      </c>
      <c r="AP108" t="s">
        <v>279</v>
      </c>
      <c r="AQ108" t="s">
        <v>283</v>
      </c>
      <c r="AR108" t="s">
        <v>537</v>
      </c>
      <c r="AS108" t="s">
        <v>1094</v>
      </c>
      <c r="AT108">
        <v>65</v>
      </c>
      <c r="AU108" t="s">
        <v>191</v>
      </c>
      <c r="AV108" s="30">
        <v>1</v>
      </c>
      <c r="AW108" t="s">
        <v>287</v>
      </c>
      <c r="AX108" t="s">
        <v>191</v>
      </c>
      <c r="AZ108" t="s">
        <v>829</v>
      </c>
      <c r="BA108">
        <v>0</v>
      </c>
      <c r="BB108" t="s">
        <v>289</v>
      </c>
      <c r="BC108" t="s">
        <v>239</v>
      </c>
      <c r="BE108" t="s">
        <v>314</v>
      </c>
      <c r="BF108" t="s">
        <v>292</v>
      </c>
      <c r="BG108" t="s">
        <v>298</v>
      </c>
      <c r="BH108" t="s">
        <v>191</v>
      </c>
      <c r="BI108">
        <v>1</v>
      </c>
      <c r="BJ108" t="s">
        <v>315</v>
      </c>
      <c r="BK108" t="s">
        <v>549</v>
      </c>
      <c r="BL108" t="s">
        <v>414</v>
      </c>
      <c r="BM108" t="s">
        <v>540</v>
      </c>
      <c r="BN108" t="str">
        <f t="shared" si="7"/>
        <v>control_music.therapy</v>
      </c>
      <c r="BO108" t="s">
        <v>267</v>
      </c>
      <c r="BQ108">
        <v>10</v>
      </c>
      <c r="BR108">
        <v>10</v>
      </c>
      <c r="BS108" s="35">
        <v>19.410977240000001</v>
      </c>
      <c r="BT108" s="35">
        <v>2.8112449800000001</v>
      </c>
      <c r="BU108" s="35">
        <v>8.8899371970000001</v>
      </c>
      <c r="BV108" s="35"/>
      <c r="BW108" s="35">
        <v>23.627844710000002</v>
      </c>
      <c r="BX108" s="35">
        <v>2.5435073629999998</v>
      </c>
      <c r="BY108" s="35">
        <v>8.0432765120000003</v>
      </c>
      <c r="CB108" t="s">
        <v>268</v>
      </c>
      <c r="CD108" t="s">
        <v>268</v>
      </c>
      <c r="CE108" t="s">
        <v>191</v>
      </c>
      <c r="CF108" t="s">
        <v>309</v>
      </c>
      <c r="CG108" t="s">
        <v>268</v>
      </c>
      <c r="CI108" t="s">
        <v>268</v>
      </c>
      <c r="CK108" s="30">
        <f t="shared" si="5"/>
        <v>1</v>
      </c>
      <c r="CL108">
        <f t="shared" si="6"/>
        <v>3</v>
      </c>
    </row>
    <row r="109" spans="1:90" hidden="1" x14ac:dyDescent="0.35">
      <c r="A109" t="s">
        <v>659</v>
      </c>
      <c r="B109" t="s">
        <v>528</v>
      </c>
      <c r="C109" t="s">
        <v>529</v>
      </c>
      <c r="D109" t="s">
        <v>530</v>
      </c>
      <c r="E109" t="s">
        <v>531</v>
      </c>
      <c r="F109">
        <v>2017</v>
      </c>
      <c r="G109" t="s">
        <v>344</v>
      </c>
      <c r="I109" t="s">
        <v>491</v>
      </c>
      <c r="K109" t="s">
        <v>178</v>
      </c>
      <c r="L109" t="s">
        <v>177</v>
      </c>
      <c r="M109" t="s">
        <v>1125</v>
      </c>
      <c r="N109" t="s">
        <v>193</v>
      </c>
      <c r="O109" t="s">
        <v>187</v>
      </c>
      <c r="P109" t="s">
        <v>534</v>
      </c>
      <c r="Q109" t="s">
        <v>187</v>
      </c>
      <c r="R109" t="s">
        <v>534</v>
      </c>
      <c r="S109" t="s">
        <v>208</v>
      </c>
      <c r="U109" t="s">
        <v>1118</v>
      </c>
      <c r="V109" t="s">
        <v>268</v>
      </c>
      <c r="X109" t="s">
        <v>269</v>
      </c>
      <c r="AE109" t="s">
        <v>273</v>
      </c>
      <c r="AG109" t="s">
        <v>275</v>
      </c>
      <c r="AI109" t="s">
        <v>352</v>
      </c>
      <c r="AK109">
        <v>4</v>
      </c>
      <c r="AM109">
        <v>4</v>
      </c>
      <c r="AO109" t="s">
        <v>1104</v>
      </c>
      <c r="AP109" t="s">
        <v>279</v>
      </c>
      <c r="AQ109" t="s">
        <v>283</v>
      </c>
      <c r="AR109" t="s">
        <v>537</v>
      </c>
      <c r="AS109" t="s">
        <v>1094</v>
      </c>
      <c r="AT109">
        <v>65</v>
      </c>
      <c r="AU109" t="s">
        <v>191</v>
      </c>
      <c r="AV109" s="30">
        <v>1</v>
      </c>
      <c r="AW109" t="s">
        <v>287</v>
      </c>
      <c r="AX109" t="s">
        <v>191</v>
      </c>
      <c r="AZ109" t="s">
        <v>829</v>
      </c>
      <c r="BA109">
        <v>0</v>
      </c>
      <c r="BB109" t="s">
        <v>289</v>
      </c>
      <c r="BC109" t="s">
        <v>239</v>
      </c>
      <c r="BE109" t="s">
        <v>314</v>
      </c>
      <c r="BF109" t="s">
        <v>292</v>
      </c>
      <c r="BG109" t="s">
        <v>298</v>
      </c>
      <c r="BH109" t="s">
        <v>191</v>
      </c>
      <c r="BI109">
        <v>1</v>
      </c>
      <c r="BJ109" t="s">
        <v>315</v>
      </c>
      <c r="BK109" t="s">
        <v>549</v>
      </c>
      <c r="BL109" t="s">
        <v>414</v>
      </c>
      <c r="BM109" t="s">
        <v>540</v>
      </c>
      <c r="BN109" t="str">
        <f t="shared" si="7"/>
        <v>control_music.therapy</v>
      </c>
      <c r="BO109" t="s">
        <v>267</v>
      </c>
      <c r="BQ109">
        <v>10</v>
      </c>
      <c r="BR109">
        <v>10</v>
      </c>
      <c r="BS109" s="35">
        <v>12.58366801</v>
      </c>
      <c r="BT109" s="35">
        <v>2.2088353409999999</v>
      </c>
      <c r="BU109" s="35">
        <v>6.9849506549999996</v>
      </c>
      <c r="BV109" s="35"/>
      <c r="BW109" s="35">
        <v>21.017402950000001</v>
      </c>
      <c r="BX109" s="35">
        <v>4.9531459169999996</v>
      </c>
      <c r="BY109" s="35">
        <v>15.663222680000001</v>
      </c>
      <c r="CB109" t="s">
        <v>268</v>
      </c>
      <c r="CD109" t="s">
        <v>268</v>
      </c>
      <c r="CE109" t="s">
        <v>191</v>
      </c>
      <c r="CF109" t="s">
        <v>309</v>
      </c>
      <c r="CG109" t="s">
        <v>268</v>
      </c>
      <c r="CI109" t="s">
        <v>268</v>
      </c>
      <c r="CK109" s="30">
        <f t="shared" si="5"/>
        <v>1</v>
      </c>
      <c r="CL109">
        <f t="shared" si="6"/>
        <v>3</v>
      </c>
    </row>
    <row r="110" spans="1:90" hidden="1" x14ac:dyDescent="0.35">
      <c r="A110" t="s">
        <v>660</v>
      </c>
      <c r="B110" t="s">
        <v>528</v>
      </c>
      <c r="C110" t="s">
        <v>529</v>
      </c>
      <c r="D110" t="s">
        <v>530</v>
      </c>
      <c r="E110" t="s">
        <v>531</v>
      </c>
      <c r="F110">
        <v>2017</v>
      </c>
      <c r="G110" t="s">
        <v>344</v>
      </c>
      <c r="I110" t="s">
        <v>492</v>
      </c>
      <c r="K110" t="s">
        <v>178</v>
      </c>
      <c r="L110" t="s">
        <v>177</v>
      </c>
      <c r="M110" t="s">
        <v>1125</v>
      </c>
      <c r="N110" t="s">
        <v>193</v>
      </c>
      <c r="O110" t="s">
        <v>188</v>
      </c>
      <c r="P110" t="s">
        <v>535</v>
      </c>
      <c r="Q110" t="s">
        <v>188</v>
      </c>
      <c r="R110" t="s">
        <v>535</v>
      </c>
      <c r="S110" t="s">
        <v>208</v>
      </c>
      <c r="U110" t="s">
        <v>1118</v>
      </c>
      <c r="V110" t="s">
        <v>268</v>
      </c>
      <c r="X110" t="s">
        <v>269</v>
      </c>
      <c r="AE110" t="s">
        <v>273</v>
      </c>
      <c r="AG110" t="s">
        <v>275</v>
      </c>
      <c r="AI110" t="s">
        <v>536</v>
      </c>
      <c r="AK110">
        <v>4</v>
      </c>
      <c r="AM110">
        <v>4</v>
      </c>
      <c r="AO110" t="s">
        <v>1104</v>
      </c>
      <c r="AP110" t="s">
        <v>279</v>
      </c>
      <c r="AQ110" t="s">
        <v>283</v>
      </c>
      <c r="AR110" t="s">
        <v>537</v>
      </c>
      <c r="AS110" t="s">
        <v>1094</v>
      </c>
      <c r="AT110">
        <v>65</v>
      </c>
      <c r="AU110" t="s">
        <v>191</v>
      </c>
      <c r="AV110" s="30">
        <v>1</v>
      </c>
      <c r="AW110" t="s">
        <v>287</v>
      </c>
      <c r="AX110" t="s">
        <v>191</v>
      </c>
      <c r="AZ110" t="s">
        <v>829</v>
      </c>
      <c r="BA110">
        <v>0</v>
      </c>
      <c r="BB110" t="s">
        <v>289</v>
      </c>
      <c r="BC110" t="s">
        <v>239</v>
      </c>
      <c r="BE110" t="s">
        <v>314</v>
      </c>
      <c r="BF110" t="s">
        <v>292</v>
      </c>
      <c r="BG110" t="s">
        <v>298</v>
      </c>
      <c r="BH110" t="s">
        <v>191</v>
      </c>
      <c r="BI110">
        <v>1</v>
      </c>
      <c r="BJ110" t="s">
        <v>315</v>
      </c>
      <c r="BK110" t="s">
        <v>549</v>
      </c>
      <c r="BL110" t="s">
        <v>414</v>
      </c>
      <c r="BM110" t="s">
        <v>540</v>
      </c>
      <c r="BN110" t="str">
        <f t="shared" si="7"/>
        <v>control_music.therapy</v>
      </c>
      <c r="BO110" t="s">
        <v>267</v>
      </c>
      <c r="BQ110">
        <v>10</v>
      </c>
      <c r="BR110">
        <v>10</v>
      </c>
      <c r="BS110" s="35">
        <v>6.291834003</v>
      </c>
      <c r="BT110" s="35">
        <v>2.6773761710000001</v>
      </c>
      <c r="BU110" s="35">
        <v>8.4666068550000002</v>
      </c>
      <c r="BV110" s="35"/>
      <c r="BW110" s="35">
        <v>11.981258370000001</v>
      </c>
      <c r="BX110" s="35">
        <v>4.0829986610000004</v>
      </c>
      <c r="BY110" s="35">
        <v>12.911575450000001</v>
      </c>
      <c r="CB110" t="s">
        <v>268</v>
      </c>
      <c r="CD110" t="s">
        <v>268</v>
      </c>
      <c r="CE110" t="s">
        <v>191</v>
      </c>
      <c r="CF110" t="s">
        <v>309</v>
      </c>
      <c r="CG110" t="s">
        <v>268</v>
      </c>
      <c r="CI110" t="s">
        <v>268</v>
      </c>
      <c r="CK110" s="30">
        <f t="shared" si="5"/>
        <v>1</v>
      </c>
      <c r="CL110">
        <f t="shared" si="6"/>
        <v>3</v>
      </c>
    </row>
    <row r="111" spans="1:90" hidden="1" x14ac:dyDescent="0.35">
      <c r="A111" t="s">
        <v>661</v>
      </c>
      <c r="B111" t="s">
        <v>528</v>
      </c>
      <c r="C111" t="s">
        <v>529</v>
      </c>
      <c r="D111" t="s">
        <v>530</v>
      </c>
      <c r="E111" t="s">
        <v>531</v>
      </c>
      <c r="F111">
        <v>2017</v>
      </c>
      <c r="G111" t="s">
        <v>344</v>
      </c>
      <c r="I111" t="s">
        <v>493</v>
      </c>
      <c r="K111" t="s">
        <v>178</v>
      </c>
      <c r="L111" t="s">
        <v>177</v>
      </c>
      <c r="M111" t="s">
        <v>1125</v>
      </c>
      <c r="N111" t="s">
        <v>193</v>
      </c>
      <c r="O111" t="s">
        <v>185</v>
      </c>
      <c r="P111" t="s">
        <v>532</v>
      </c>
      <c r="Q111" t="s">
        <v>185</v>
      </c>
      <c r="R111" t="s">
        <v>532</v>
      </c>
      <c r="S111" t="s">
        <v>208</v>
      </c>
      <c r="U111" t="s">
        <v>1118</v>
      </c>
      <c r="V111" t="s">
        <v>268</v>
      </c>
      <c r="X111" t="s">
        <v>269</v>
      </c>
      <c r="AE111" t="s">
        <v>273</v>
      </c>
      <c r="AG111" t="s">
        <v>275</v>
      </c>
      <c r="AI111" t="s">
        <v>311</v>
      </c>
      <c r="AK111">
        <v>4</v>
      </c>
      <c r="AM111">
        <v>4</v>
      </c>
      <c r="AO111" t="s">
        <v>1104</v>
      </c>
      <c r="AP111" t="s">
        <v>279</v>
      </c>
      <c r="AQ111" t="s">
        <v>283</v>
      </c>
      <c r="AR111" t="s">
        <v>537</v>
      </c>
      <c r="AS111" t="s">
        <v>1094</v>
      </c>
      <c r="AT111">
        <v>65</v>
      </c>
      <c r="AU111" t="s">
        <v>191</v>
      </c>
      <c r="AV111" s="30">
        <v>1</v>
      </c>
      <c r="AW111" t="s">
        <v>287</v>
      </c>
      <c r="AX111" t="s">
        <v>191</v>
      </c>
      <c r="AZ111" t="s">
        <v>829</v>
      </c>
      <c r="BA111">
        <v>0</v>
      </c>
      <c r="BB111" t="s">
        <v>289</v>
      </c>
      <c r="BC111" t="s">
        <v>239</v>
      </c>
      <c r="BE111" t="s">
        <v>336</v>
      </c>
      <c r="BF111" t="s">
        <v>292</v>
      </c>
      <c r="BG111" t="s">
        <v>298</v>
      </c>
      <c r="BH111" t="s">
        <v>191</v>
      </c>
      <c r="BI111">
        <v>1</v>
      </c>
      <c r="BJ111" t="s">
        <v>315</v>
      </c>
      <c r="BK111" t="s">
        <v>551</v>
      </c>
      <c r="BL111" t="s">
        <v>414</v>
      </c>
      <c r="BM111" t="s">
        <v>540</v>
      </c>
      <c r="BN111" t="str">
        <f t="shared" si="7"/>
        <v>control_music.therapy</v>
      </c>
      <c r="BO111" t="s">
        <v>267</v>
      </c>
      <c r="BQ111">
        <v>10</v>
      </c>
      <c r="BR111">
        <v>10</v>
      </c>
      <c r="BS111" s="35">
        <v>9.5641646490000003</v>
      </c>
      <c r="BT111" s="35">
        <v>2.6634382570000001</v>
      </c>
      <c r="BU111" s="35">
        <v>8.4225312979999991</v>
      </c>
      <c r="BV111" s="35"/>
      <c r="BW111" s="35">
        <v>25.72639225</v>
      </c>
      <c r="BX111" s="35">
        <v>3.3292978209999999</v>
      </c>
      <c r="BY111" s="35">
        <v>10.52816412</v>
      </c>
      <c r="CB111" t="s">
        <v>268</v>
      </c>
      <c r="CD111" t="s">
        <v>268</v>
      </c>
      <c r="CE111" t="s">
        <v>191</v>
      </c>
      <c r="CF111" t="s">
        <v>309</v>
      </c>
      <c r="CG111" t="s">
        <v>268</v>
      </c>
      <c r="CI111" t="s">
        <v>268</v>
      </c>
      <c r="CK111" s="30">
        <f t="shared" si="5"/>
        <v>1</v>
      </c>
      <c r="CL111">
        <f t="shared" si="6"/>
        <v>3</v>
      </c>
    </row>
    <row r="112" spans="1:90" hidden="1" x14ac:dyDescent="0.35">
      <c r="A112" t="s">
        <v>662</v>
      </c>
      <c r="B112" t="s">
        <v>528</v>
      </c>
      <c r="C112" t="s">
        <v>529</v>
      </c>
      <c r="D112" t="s">
        <v>530</v>
      </c>
      <c r="E112" t="s">
        <v>531</v>
      </c>
      <c r="F112">
        <v>2017</v>
      </c>
      <c r="G112" t="s">
        <v>344</v>
      </c>
      <c r="I112" t="s">
        <v>541</v>
      </c>
      <c r="K112" t="s">
        <v>178</v>
      </c>
      <c r="L112" t="s">
        <v>177</v>
      </c>
      <c r="M112" t="s">
        <v>1125</v>
      </c>
      <c r="N112" t="s">
        <v>193</v>
      </c>
      <c r="O112" t="s">
        <v>186</v>
      </c>
      <c r="P112" t="s">
        <v>533</v>
      </c>
      <c r="Q112" t="s">
        <v>186</v>
      </c>
      <c r="R112" t="s">
        <v>533</v>
      </c>
      <c r="S112" t="s">
        <v>208</v>
      </c>
      <c r="U112" t="s">
        <v>1118</v>
      </c>
      <c r="V112" t="s">
        <v>268</v>
      </c>
      <c r="X112" t="s">
        <v>269</v>
      </c>
      <c r="AE112" t="s">
        <v>273</v>
      </c>
      <c r="AG112" t="s">
        <v>275</v>
      </c>
      <c r="AI112" t="s">
        <v>348</v>
      </c>
      <c r="AK112">
        <v>4</v>
      </c>
      <c r="AM112">
        <v>4</v>
      </c>
      <c r="AO112" t="s">
        <v>1104</v>
      </c>
      <c r="AP112" t="s">
        <v>279</v>
      </c>
      <c r="AQ112" t="s">
        <v>283</v>
      </c>
      <c r="AR112" t="s">
        <v>537</v>
      </c>
      <c r="AS112" t="s">
        <v>1094</v>
      </c>
      <c r="AT112">
        <v>65</v>
      </c>
      <c r="AU112" t="s">
        <v>191</v>
      </c>
      <c r="AV112" s="30">
        <v>1</v>
      </c>
      <c r="AW112" t="s">
        <v>287</v>
      </c>
      <c r="AX112" t="s">
        <v>191</v>
      </c>
      <c r="AZ112" t="s">
        <v>829</v>
      </c>
      <c r="BA112">
        <v>0</v>
      </c>
      <c r="BB112" t="s">
        <v>289</v>
      </c>
      <c r="BC112" t="s">
        <v>239</v>
      </c>
      <c r="BE112" t="s">
        <v>336</v>
      </c>
      <c r="BF112" t="s">
        <v>292</v>
      </c>
      <c r="BG112" t="s">
        <v>298</v>
      </c>
      <c r="BH112" t="s">
        <v>191</v>
      </c>
      <c r="BI112">
        <v>1</v>
      </c>
      <c r="BJ112" t="s">
        <v>315</v>
      </c>
      <c r="BK112" t="s">
        <v>551</v>
      </c>
      <c r="BL112" t="s">
        <v>414</v>
      </c>
      <c r="BM112" t="s">
        <v>540</v>
      </c>
      <c r="BN112" t="str">
        <f t="shared" si="7"/>
        <v>control_music.therapy</v>
      </c>
      <c r="BO112" t="s">
        <v>267</v>
      </c>
      <c r="BQ112">
        <v>10</v>
      </c>
      <c r="BR112">
        <v>10</v>
      </c>
      <c r="BS112" s="35">
        <v>2.5423728809999999</v>
      </c>
      <c r="BT112" s="35">
        <v>1.0290556900000001</v>
      </c>
      <c r="BU112" s="35">
        <v>3.2541598199999999</v>
      </c>
      <c r="BV112" s="35"/>
      <c r="BW112" s="35">
        <v>18.88619855</v>
      </c>
      <c r="BX112" s="35">
        <v>2.5423728809999999</v>
      </c>
      <c r="BY112" s="35">
        <v>8.039688967</v>
      </c>
      <c r="CB112" t="s">
        <v>268</v>
      </c>
      <c r="CD112" t="s">
        <v>268</v>
      </c>
      <c r="CE112" t="s">
        <v>191</v>
      </c>
      <c r="CF112" t="s">
        <v>309</v>
      </c>
      <c r="CG112" t="s">
        <v>268</v>
      </c>
      <c r="CI112" t="s">
        <v>268</v>
      </c>
      <c r="CK112" s="30">
        <f t="shared" si="5"/>
        <v>1</v>
      </c>
      <c r="CL112">
        <f t="shared" si="6"/>
        <v>3</v>
      </c>
    </row>
    <row r="113" spans="1:90" hidden="1" x14ac:dyDescent="0.35">
      <c r="A113" t="s">
        <v>663</v>
      </c>
      <c r="B113" t="s">
        <v>528</v>
      </c>
      <c r="C113" t="s">
        <v>529</v>
      </c>
      <c r="D113" t="s">
        <v>530</v>
      </c>
      <c r="E113" t="s">
        <v>531</v>
      </c>
      <c r="F113">
        <v>2017</v>
      </c>
      <c r="G113" t="s">
        <v>344</v>
      </c>
      <c r="I113" t="s">
        <v>542</v>
      </c>
      <c r="K113" t="s">
        <v>178</v>
      </c>
      <c r="L113" t="s">
        <v>177</v>
      </c>
      <c r="M113" t="s">
        <v>1125</v>
      </c>
      <c r="N113" t="s">
        <v>193</v>
      </c>
      <c r="O113" t="s">
        <v>187</v>
      </c>
      <c r="P113" t="s">
        <v>534</v>
      </c>
      <c r="Q113" t="s">
        <v>187</v>
      </c>
      <c r="R113" t="s">
        <v>534</v>
      </c>
      <c r="S113" t="s">
        <v>208</v>
      </c>
      <c r="U113" t="s">
        <v>1118</v>
      </c>
      <c r="V113" t="s">
        <v>268</v>
      </c>
      <c r="X113" t="s">
        <v>269</v>
      </c>
      <c r="AE113" t="s">
        <v>273</v>
      </c>
      <c r="AG113" t="s">
        <v>275</v>
      </c>
      <c r="AI113" t="s">
        <v>352</v>
      </c>
      <c r="AK113">
        <v>4</v>
      </c>
      <c r="AM113">
        <v>4</v>
      </c>
      <c r="AO113" t="s">
        <v>1104</v>
      </c>
      <c r="AP113" t="s">
        <v>279</v>
      </c>
      <c r="AQ113" t="s">
        <v>283</v>
      </c>
      <c r="AR113" t="s">
        <v>537</v>
      </c>
      <c r="AS113" t="s">
        <v>1094</v>
      </c>
      <c r="AT113">
        <v>65</v>
      </c>
      <c r="AU113" t="s">
        <v>191</v>
      </c>
      <c r="AV113" s="30">
        <v>1</v>
      </c>
      <c r="AW113" t="s">
        <v>287</v>
      </c>
      <c r="AX113" t="s">
        <v>191</v>
      </c>
      <c r="AZ113" t="s">
        <v>829</v>
      </c>
      <c r="BA113">
        <v>0</v>
      </c>
      <c r="BB113" t="s">
        <v>289</v>
      </c>
      <c r="BC113" t="s">
        <v>239</v>
      </c>
      <c r="BE113" t="s">
        <v>336</v>
      </c>
      <c r="BF113" t="s">
        <v>292</v>
      </c>
      <c r="BG113" t="s">
        <v>298</v>
      </c>
      <c r="BH113" t="s">
        <v>191</v>
      </c>
      <c r="BI113">
        <v>1</v>
      </c>
      <c r="BJ113" t="s">
        <v>315</v>
      </c>
      <c r="BK113" t="s">
        <v>551</v>
      </c>
      <c r="BL113" t="s">
        <v>414</v>
      </c>
      <c r="BM113" t="s">
        <v>540</v>
      </c>
      <c r="BN113" t="str">
        <f t="shared" si="7"/>
        <v>control_music.therapy</v>
      </c>
      <c r="BO113" t="s">
        <v>267</v>
      </c>
      <c r="BQ113">
        <v>10</v>
      </c>
      <c r="BR113">
        <v>10</v>
      </c>
      <c r="BS113" s="35">
        <v>4.9031476999999999</v>
      </c>
      <c r="BT113" s="35">
        <v>2.118644068</v>
      </c>
      <c r="BU113" s="35">
        <v>6.6997408050000002</v>
      </c>
      <c r="BV113" s="35"/>
      <c r="BW113" s="35">
        <v>14.28571429</v>
      </c>
      <c r="BX113" s="35">
        <v>3.3898305080000002</v>
      </c>
      <c r="BY113" s="35">
        <v>10.719585289999999</v>
      </c>
      <c r="CB113" t="s">
        <v>268</v>
      </c>
      <c r="CD113" t="s">
        <v>268</v>
      </c>
      <c r="CE113" t="s">
        <v>191</v>
      </c>
      <c r="CF113" t="s">
        <v>309</v>
      </c>
      <c r="CG113" t="s">
        <v>268</v>
      </c>
      <c r="CI113" t="s">
        <v>268</v>
      </c>
      <c r="CK113" s="30">
        <f t="shared" si="5"/>
        <v>1</v>
      </c>
      <c r="CL113">
        <f t="shared" si="6"/>
        <v>3</v>
      </c>
    </row>
    <row r="114" spans="1:90" hidden="1" x14ac:dyDescent="0.35">
      <c r="A114" t="s">
        <v>664</v>
      </c>
      <c r="B114" t="s">
        <v>528</v>
      </c>
      <c r="C114" t="s">
        <v>529</v>
      </c>
      <c r="D114" t="s">
        <v>530</v>
      </c>
      <c r="E114" t="s">
        <v>531</v>
      </c>
      <c r="F114">
        <v>2017</v>
      </c>
      <c r="G114" t="s">
        <v>344</v>
      </c>
      <c r="I114" t="s">
        <v>543</v>
      </c>
      <c r="K114" t="s">
        <v>178</v>
      </c>
      <c r="L114" t="s">
        <v>177</v>
      </c>
      <c r="M114" t="s">
        <v>1125</v>
      </c>
      <c r="N114" t="s">
        <v>193</v>
      </c>
      <c r="O114" t="s">
        <v>188</v>
      </c>
      <c r="P114" t="s">
        <v>535</v>
      </c>
      <c r="Q114" t="s">
        <v>188</v>
      </c>
      <c r="R114" t="s">
        <v>535</v>
      </c>
      <c r="S114" t="s">
        <v>208</v>
      </c>
      <c r="U114" t="s">
        <v>1118</v>
      </c>
      <c r="V114" t="s">
        <v>268</v>
      </c>
      <c r="X114" t="s">
        <v>269</v>
      </c>
      <c r="AE114" t="s">
        <v>273</v>
      </c>
      <c r="AG114" t="s">
        <v>275</v>
      </c>
      <c r="AI114" t="s">
        <v>536</v>
      </c>
      <c r="AK114">
        <v>4</v>
      </c>
      <c r="AM114">
        <v>4</v>
      </c>
      <c r="AO114" t="s">
        <v>1104</v>
      </c>
      <c r="AP114" t="s">
        <v>279</v>
      </c>
      <c r="AQ114" t="s">
        <v>283</v>
      </c>
      <c r="AR114" t="s">
        <v>537</v>
      </c>
      <c r="AS114" t="s">
        <v>1094</v>
      </c>
      <c r="AT114">
        <v>65</v>
      </c>
      <c r="AU114" t="s">
        <v>191</v>
      </c>
      <c r="AV114" s="30">
        <v>1</v>
      </c>
      <c r="AW114" t="s">
        <v>287</v>
      </c>
      <c r="AX114" t="s">
        <v>191</v>
      </c>
      <c r="AZ114" t="s">
        <v>829</v>
      </c>
      <c r="BA114">
        <v>0</v>
      </c>
      <c r="BB114" t="s">
        <v>289</v>
      </c>
      <c r="BC114" t="s">
        <v>239</v>
      </c>
      <c r="BE114" t="s">
        <v>336</v>
      </c>
      <c r="BF114" t="s">
        <v>292</v>
      </c>
      <c r="BG114" t="s">
        <v>298</v>
      </c>
      <c r="BH114" t="s">
        <v>191</v>
      </c>
      <c r="BI114">
        <v>1</v>
      </c>
      <c r="BJ114" t="s">
        <v>315</v>
      </c>
      <c r="BK114" t="s">
        <v>551</v>
      </c>
      <c r="BL114" t="s">
        <v>414</v>
      </c>
      <c r="BM114" t="s">
        <v>540</v>
      </c>
      <c r="BN114" t="str">
        <f t="shared" si="7"/>
        <v>control_music.therapy</v>
      </c>
      <c r="BO114" t="s">
        <v>267</v>
      </c>
      <c r="BQ114">
        <v>10</v>
      </c>
      <c r="BR114">
        <v>10</v>
      </c>
      <c r="BS114" s="35">
        <v>4.4794188860000004</v>
      </c>
      <c r="BT114" s="35">
        <v>2.905569007</v>
      </c>
      <c r="BU114" s="35">
        <v>9.1882159619999992</v>
      </c>
      <c r="BV114" s="35"/>
      <c r="BW114" s="35">
        <v>7.3244552059999997</v>
      </c>
      <c r="BX114" s="35">
        <v>3.5714285710000002</v>
      </c>
      <c r="BY114" s="35">
        <v>11.29384879</v>
      </c>
      <c r="CB114" t="s">
        <v>268</v>
      </c>
      <c r="CD114" t="s">
        <v>268</v>
      </c>
      <c r="CE114" t="s">
        <v>191</v>
      </c>
      <c r="CF114" t="s">
        <v>309</v>
      </c>
      <c r="CG114" t="s">
        <v>268</v>
      </c>
      <c r="CI114" t="s">
        <v>268</v>
      </c>
      <c r="CK114" s="30">
        <f t="shared" si="5"/>
        <v>1</v>
      </c>
      <c r="CL114">
        <f t="shared" si="6"/>
        <v>3</v>
      </c>
    </row>
    <row r="115" spans="1:90" hidden="1" x14ac:dyDescent="0.35">
      <c r="A115" t="s">
        <v>665</v>
      </c>
      <c r="B115" t="s">
        <v>528</v>
      </c>
      <c r="C115" t="s">
        <v>529</v>
      </c>
      <c r="D115" t="s">
        <v>530</v>
      </c>
      <c r="E115" t="s">
        <v>531</v>
      </c>
      <c r="F115">
        <v>2017</v>
      </c>
      <c r="G115" t="s">
        <v>344</v>
      </c>
      <c r="I115" t="s">
        <v>544</v>
      </c>
      <c r="K115" t="s">
        <v>178</v>
      </c>
      <c r="L115" t="s">
        <v>177</v>
      </c>
      <c r="M115" t="s">
        <v>1125</v>
      </c>
      <c r="N115" t="s">
        <v>193</v>
      </c>
      <c r="O115" t="s">
        <v>185</v>
      </c>
      <c r="P115" t="s">
        <v>532</v>
      </c>
      <c r="Q115" t="s">
        <v>185</v>
      </c>
      <c r="R115" t="s">
        <v>532</v>
      </c>
      <c r="S115" t="s">
        <v>208</v>
      </c>
      <c r="U115" t="s">
        <v>1118</v>
      </c>
      <c r="V115" t="s">
        <v>268</v>
      </c>
      <c r="X115" t="s">
        <v>269</v>
      </c>
      <c r="AE115" t="s">
        <v>273</v>
      </c>
      <c r="AG115" t="s">
        <v>275</v>
      </c>
      <c r="AI115" t="s">
        <v>311</v>
      </c>
      <c r="AK115">
        <v>4</v>
      </c>
      <c r="AM115">
        <v>4</v>
      </c>
      <c r="AO115" t="s">
        <v>1104</v>
      </c>
      <c r="AP115" t="s">
        <v>279</v>
      </c>
      <c r="AQ115" t="s">
        <v>283</v>
      </c>
      <c r="AR115" t="s">
        <v>537</v>
      </c>
      <c r="AS115" t="s">
        <v>1094</v>
      </c>
      <c r="AT115">
        <v>65</v>
      </c>
      <c r="AU115" t="s">
        <v>191</v>
      </c>
      <c r="AV115" s="30">
        <v>1</v>
      </c>
      <c r="AW115" t="s">
        <v>287</v>
      </c>
      <c r="AX115" t="s">
        <v>191</v>
      </c>
      <c r="AZ115" t="s">
        <v>829</v>
      </c>
      <c r="BA115">
        <v>0</v>
      </c>
      <c r="BB115" t="s">
        <v>289</v>
      </c>
      <c r="BC115" t="s">
        <v>239</v>
      </c>
      <c r="BE115" t="s">
        <v>321</v>
      </c>
      <c r="BF115" t="s">
        <v>294</v>
      </c>
      <c r="BG115" t="s">
        <v>300</v>
      </c>
      <c r="BH115" t="s">
        <v>191</v>
      </c>
      <c r="BI115">
        <v>1</v>
      </c>
      <c r="BJ115" t="s">
        <v>315</v>
      </c>
      <c r="BK115" t="s">
        <v>553</v>
      </c>
      <c r="BL115" t="s">
        <v>414</v>
      </c>
      <c r="BM115" t="s">
        <v>540</v>
      </c>
      <c r="BN115" t="str">
        <f t="shared" si="7"/>
        <v>control_music.therapy</v>
      </c>
      <c r="BO115" t="s">
        <v>268</v>
      </c>
      <c r="BQ115">
        <v>10</v>
      </c>
      <c r="BR115">
        <v>10</v>
      </c>
      <c r="BS115" s="35">
        <v>6.5116279070000003</v>
      </c>
      <c r="BT115" s="35">
        <v>0.58139534900000001</v>
      </c>
      <c r="BU115" s="35">
        <v>1.8385335229999999</v>
      </c>
      <c r="BV115" s="35"/>
      <c r="BW115" s="35">
        <v>7.9263565890000001</v>
      </c>
      <c r="BX115" s="35">
        <v>0.65891472900000003</v>
      </c>
      <c r="BY115" s="35">
        <v>2.0836713260000002</v>
      </c>
      <c r="CB115" t="s">
        <v>268</v>
      </c>
      <c r="CD115" t="s">
        <v>268</v>
      </c>
      <c r="CE115" t="s">
        <v>191</v>
      </c>
      <c r="CF115" t="s">
        <v>309</v>
      </c>
      <c r="CG115" t="s">
        <v>268</v>
      </c>
      <c r="CI115" t="s">
        <v>268</v>
      </c>
      <c r="CK115" s="30">
        <f t="shared" si="5"/>
        <v>1</v>
      </c>
      <c r="CL115">
        <f t="shared" si="6"/>
        <v>3</v>
      </c>
    </row>
    <row r="116" spans="1:90" hidden="1" x14ac:dyDescent="0.35">
      <c r="A116" t="s">
        <v>666</v>
      </c>
      <c r="B116" t="s">
        <v>528</v>
      </c>
      <c r="C116" t="s">
        <v>529</v>
      </c>
      <c r="D116" t="s">
        <v>530</v>
      </c>
      <c r="E116" t="s">
        <v>531</v>
      </c>
      <c r="F116">
        <v>2017</v>
      </c>
      <c r="G116" t="s">
        <v>344</v>
      </c>
      <c r="I116" t="s">
        <v>545</v>
      </c>
      <c r="K116" t="s">
        <v>178</v>
      </c>
      <c r="L116" t="s">
        <v>177</v>
      </c>
      <c r="M116" t="s">
        <v>1125</v>
      </c>
      <c r="N116" t="s">
        <v>193</v>
      </c>
      <c r="O116" t="s">
        <v>186</v>
      </c>
      <c r="P116" t="s">
        <v>533</v>
      </c>
      <c r="Q116" t="s">
        <v>186</v>
      </c>
      <c r="R116" t="s">
        <v>533</v>
      </c>
      <c r="S116" t="s">
        <v>208</v>
      </c>
      <c r="U116" t="s">
        <v>1118</v>
      </c>
      <c r="V116" t="s">
        <v>268</v>
      </c>
      <c r="X116" t="s">
        <v>269</v>
      </c>
      <c r="AE116" t="s">
        <v>273</v>
      </c>
      <c r="AG116" t="s">
        <v>275</v>
      </c>
      <c r="AI116" t="s">
        <v>348</v>
      </c>
      <c r="AK116">
        <v>4</v>
      </c>
      <c r="AM116">
        <v>4</v>
      </c>
      <c r="AO116" t="s">
        <v>1104</v>
      </c>
      <c r="AP116" t="s">
        <v>279</v>
      </c>
      <c r="AQ116" t="s">
        <v>283</v>
      </c>
      <c r="AR116" t="s">
        <v>537</v>
      </c>
      <c r="AS116" t="s">
        <v>1094</v>
      </c>
      <c r="AT116">
        <v>65</v>
      </c>
      <c r="AU116" t="s">
        <v>191</v>
      </c>
      <c r="AV116" s="30">
        <v>1</v>
      </c>
      <c r="AW116" t="s">
        <v>287</v>
      </c>
      <c r="AX116" t="s">
        <v>191</v>
      </c>
      <c r="AZ116" t="s">
        <v>829</v>
      </c>
      <c r="BA116">
        <v>0</v>
      </c>
      <c r="BB116" t="s">
        <v>289</v>
      </c>
      <c r="BC116" t="s">
        <v>239</v>
      </c>
      <c r="BE116" t="s">
        <v>321</v>
      </c>
      <c r="BF116" t="s">
        <v>294</v>
      </c>
      <c r="BG116" t="s">
        <v>300</v>
      </c>
      <c r="BH116" t="s">
        <v>191</v>
      </c>
      <c r="BI116">
        <v>1</v>
      </c>
      <c r="BJ116" t="s">
        <v>315</v>
      </c>
      <c r="BK116" t="s">
        <v>553</v>
      </c>
      <c r="BL116" t="s">
        <v>414</v>
      </c>
      <c r="BM116" t="s">
        <v>540</v>
      </c>
      <c r="BN116" t="str">
        <f t="shared" si="7"/>
        <v>control_music.therapy</v>
      </c>
      <c r="BO116" t="s">
        <v>268</v>
      </c>
      <c r="BQ116">
        <v>10</v>
      </c>
      <c r="BR116">
        <v>10</v>
      </c>
      <c r="BS116" s="35">
        <v>9.92248062</v>
      </c>
      <c r="BT116" s="35">
        <v>0.794573643</v>
      </c>
      <c r="BU116" s="35">
        <v>2.5126624820000001</v>
      </c>
      <c r="BV116" s="35"/>
      <c r="BW116" s="35">
        <v>11.89922481</v>
      </c>
      <c r="BX116" s="35">
        <v>0.65891472900000003</v>
      </c>
      <c r="BY116" s="35">
        <v>2.0836713260000002</v>
      </c>
      <c r="CB116" t="s">
        <v>268</v>
      </c>
      <c r="CD116" t="s">
        <v>268</v>
      </c>
      <c r="CE116" t="s">
        <v>191</v>
      </c>
      <c r="CF116" t="s">
        <v>309</v>
      </c>
      <c r="CG116" t="s">
        <v>268</v>
      </c>
      <c r="CI116" t="s">
        <v>268</v>
      </c>
      <c r="CK116" s="30">
        <f t="shared" si="5"/>
        <v>1</v>
      </c>
      <c r="CL116">
        <f t="shared" si="6"/>
        <v>3</v>
      </c>
    </row>
    <row r="117" spans="1:90" hidden="1" x14ac:dyDescent="0.35">
      <c r="A117" t="s">
        <v>667</v>
      </c>
      <c r="B117" t="s">
        <v>528</v>
      </c>
      <c r="C117" t="s">
        <v>529</v>
      </c>
      <c r="D117" t="s">
        <v>530</v>
      </c>
      <c r="E117" t="s">
        <v>531</v>
      </c>
      <c r="F117">
        <v>2017</v>
      </c>
      <c r="G117" t="s">
        <v>344</v>
      </c>
      <c r="I117" t="s">
        <v>546</v>
      </c>
      <c r="K117" t="s">
        <v>178</v>
      </c>
      <c r="L117" t="s">
        <v>177</v>
      </c>
      <c r="M117" t="s">
        <v>1125</v>
      </c>
      <c r="N117" t="s">
        <v>193</v>
      </c>
      <c r="O117" t="s">
        <v>187</v>
      </c>
      <c r="P117" t="s">
        <v>534</v>
      </c>
      <c r="Q117" t="s">
        <v>187</v>
      </c>
      <c r="R117" t="s">
        <v>534</v>
      </c>
      <c r="S117" t="s">
        <v>208</v>
      </c>
      <c r="U117" t="s">
        <v>1118</v>
      </c>
      <c r="V117" t="s">
        <v>268</v>
      </c>
      <c r="X117" t="s">
        <v>269</v>
      </c>
      <c r="AE117" t="s">
        <v>273</v>
      </c>
      <c r="AG117" t="s">
        <v>275</v>
      </c>
      <c r="AI117" t="s">
        <v>352</v>
      </c>
      <c r="AK117">
        <v>4</v>
      </c>
      <c r="AM117">
        <v>4</v>
      </c>
      <c r="AO117" t="s">
        <v>1104</v>
      </c>
      <c r="AP117" t="s">
        <v>279</v>
      </c>
      <c r="AQ117" t="s">
        <v>283</v>
      </c>
      <c r="AR117" t="s">
        <v>537</v>
      </c>
      <c r="AS117" t="s">
        <v>1094</v>
      </c>
      <c r="AT117">
        <v>65</v>
      </c>
      <c r="AU117" t="s">
        <v>191</v>
      </c>
      <c r="AV117" s="30">
        <v>1</v>
      </c>
      <c r="AW117" t="s">
        <v>287</v>
      </c>
      <c r="AX117" t="s">
        <v>191</v>
      </c>
      <c r="AZ117" t="s">
        <v>829</v>
      </c>
      <c r="BA117">
        <v>0</v>
      </c>
      <c r="BB117" t="s">
        <v>289</v>
      </c>
      <c r="BC117" t="s">
        <v>239</v>
      </c>
      <c r="BE117" t="s">
        <v>321</v>
      </c>
      <c r="BF117" t="s">
        <v>294</v>
      </c>
      <c r="BG117" t="s">
        <v>300</v>
      </c>
      <c r="BH117" t="s">
        <v>191</v>
      </c>
      <c r="BI117">
        <v>1</v>
      </c>
      <c r="BJ117" t="s">
        <v>315</v>
      </c>
      <c r="BK117" t="s">
        <v>553</v>
      </c>
      <c r="BL117" t="s">
        <v>414</v>
      </c>
      <c r="BM117" t="s">
        <v>540</v>
      </c>
      <c r="BN117" t="str">
        <f t="shared" si="7"/>
        <v>control_music.therapy</v>
      </c>
      <c r="BO117" t="s">
        <v>268</v>
      </c>
      <c r="BQ117">
        <v>10</v>
      </c>
      <c r="BR117">
        <v>10</v>
      </c>
      <c r="BS117" s="35">
        <v>9.0116279069999994</v>
      </c>
      <c r="BT117" s="35">
        <v>1.259689922</v>
      </c>
      <c r="BU117" s="35">
        <v>3.9834893010000001</v>
      </c>
      <c r="BV117" s="35"/>
      <c r="BW117" s="35">
        <v>7.5193798449999996</v>
      </c>
      <c r="BX117" s="35">
        <v>1.182170543</v>
      </c>
      <c r="BY117" s="35">
        <v>3.738351497</v>
      </c>
      <c r="CB117" t="s">
        <v>268</v>
      </c>
      <c r="CD117" t="s">
        <v>268</v>
      </c>
      <c r="CE117" t="s">
        <v>191</v>
      </c>
      <c r="CF117" t="s">
        <v>309</v>
      </c>
      <c r="CG117" t="s">
        <v>268</v>
      </c>
      <c r="CI117" t="s">
        <v>268</v>
      </c>
      <c r="CK117" s="30">
        <f t="shared" si="5"/>
        <v>1</v>
      </c>
      <c r="CL117">
        <f t="shared" si="6"/>
        <v>3</v>
      </c>
    </row>
    <row r="118" spans="1:90" hidden="1" x14ac:dyDescent="0.35">
      <c r="A118" t="s">
        <v>668</v>
      </c>
      <c r="B118" t="s">
        <v>528</v>
      </c>
      <c r="C118" t="s">
        <v>529</v>
      </c>
      <c r="D118" t="s">
        <v>530</v>
      </c>
      <c r="E118" t="s">
        <v>531</v>
      </c>
      <c r="F118">
        <v>2017</v>
      </c>
      <c r="G118" t="s">
        <v>344</v>
      </c>
      <c r="I118" t="s">
        <v>547</v>
      </c>
      <c r="K118" t="s">
        <v>178</v>
      </c>
      <c r="L118" t="s">
        <v>177</v>
      </c>
      <c r="M118" t="s">
        <v>1125</v>
      </c>
      <c r="N118" t="s">
        <v>193</v>
      </c>
      <c r="O118" t="s">
        <v>188</v>
      </c>
      <c r="P118" t="s">
        <v>535</v>
      </c>
      <c r="Q118" t="s">
        <v>188</v>
      </c>
      <c r="R118" t="s">
        <v>535</v>
      </c>
      <c r="S118" t="s">
        <v>208</v>
      </c>
      <c r="U118" t="s">
        <v>1118</v>
      </c>
      <c r="V118" t="s">
        <v>268</v>
      </c>
      <c r="X118" t="s">
        <v>269</v>
      </c>
      <c r="AE118" t="s">
        <v>273</v>
      </c>
      <c r="AG118" t="s">
        <v>275</v>
      </c>
      <c r="AI118" t="s">
        <v>536</v>
      </c>
      <c r="AK118">
        <v>4</v>
      </c>
      <c r="AM118">
        <v>4</v>
      </c>
      <c r="AO118" t="s">
        <v>1104</v>
      </c>
      <c r="AP118" t="s">
        <v>279</v>
      </c>
      <c r="AQ118" t="s">
        <v>283</v>
      </c>
      <c r="AR118" t="s">
        <v>537</v>
      </c>
      <c r="AS118" t="s">
        <v>1094</v>
      </c>
      <c r="AT118">
        <v>65</v>
      </c>
      <c r="AU118" t="s">
        <v>191</v>
      </c>
      <c r="AV118" s="30">
        <v>1</v>
      </c>
      <c r="AW118" t="s">
        <v>287</v>
      </c>
      <c r="AX118" t="s">
        <v>191</v>
      </c>
      <c r="AZ118" t="s">
        <v>829</v>
      </c>
      <c r="BA118">
        <v>0</v>
      </c>
      <c r="BB118" t="s">
        <v>289</v>
      </c>
      <c r="BC118" t="s">
        <v>239</v>
      </c>
      <c r="BE118" t="s">
        <v>321</v>
      </c>
      <c r="BF118" t="s">
        <v>294</v>
      </c>
      <c r="BG118" t="s">
        <v>300</v>
      </c>
      <c r="BH118" t="s">
        <v>191</v>
      </c>
      <c r="BI118">
        <v>1</v>
      </c>
      <c r="BJ118" t="s">
        <v>315</v>
      </c>
      <c r="BK118" t="s">
        <v>553</v>
      </c>
      <c r="BL118" t="s">
        <v>414</v>
      </c>
      <c r="BM118" t="s">
        <v>540</v>
      </c>
      <c r="BN118" t="str">
        <f t="shared" si="7"/>
        <v>control_music.therapy</v>
      </c>
      <c r="BO118" t="s">
        <v>268</v>
      </c>
      <c r="BQ118">
        <v>10</v>
      </c>
      <c r="BR118">
        <v>10</v>
      </c>
      <c r="BS118" s="35">
        <v>6.3953488370000002</v>
      </c>
      <c r="BT118" s="35">
        <v>1.259689922</v>
      </c>
      <c r="BU118" s="35">
        <v>3.9834893010000001</v>
      </c>
      <c r="BV118" s="35"/>
      <c r="BW118" s="35">
        <v>7.4031007750000004</v>
      </c>
      <c r="BX118" s="35">
        <v>0.794573643</v>
      </c>
      <c r="BY118" s="35">
        <v>2.5126624820000001</v>
      </c>
      <c r="CB118" t="s">
        <v>268</v>
      </c>
      <c r="CD118" t="s">
        <v>268</v>
      </c>
      <c r="CE118" t="s">
        <v>191</v>
      </c>
      <c r="CF118" t="s">
        <v>309</v>
      </c>
      <c r="CG118" t="s">
        <v>268</v>
      </c>
      <c r="CI118" t="s">
        <v>268</v>
      </c>
      <c r="CK118" s="30">
        <f t="shared" si="5"/>
        <v>1</v>
      </c>
      <c r="CL118">
        <f t="shared" si="6"/>
        <v>3</v>
      </c>
    </row>
    <row r="119" spans="1:90" hidden="1" x14ac:dyDescent="0.35">
      <c r="A119" t="s">
        <v>669</v>
      </c>
      <c r="B119" t="s">
        <v>528</v>
      </c>
      <c r="C119" t="s">
        <v>529</v>
      </c>
      <c r="D119" t="s">
        <v>530</v>
      </c>
      <c r="E119" t="s">
        <v>531</v>
      </c>
      <c r="F119">
        <v>2017</v>
      </c>
      <c r="G119" t="s">
        <v>344</v>
      </c>
      <c r="I119" t="s">
        <v>554</v>
      </c>
      <c r="K119" t="s">
        <v>178</v>
      </c>
      <c r="L119" t="s">
        <v>177</v>
      </c>
      <c r="M119" t="s">
        <v>1125</v>
      </c>
      <c r="N119" t="s">
        <v>193</v>
      </c>
      <c r="O119" t="s">
        <v>185</v>
      </c>
      <c r="P119" t="s">
        <v>532</v>
      </c>
      <c r="Q119" t="s">
        <v>185</v>
      </c>
      <c r="R119" t="s">
        <v>532</v>
      </c>
      <c r="S119" t="s">
        <v>208</v>
      </c>
      <c r="U119" t="s">
        <v>1118</v>
      </c>
      <c r="V119" t="s">
        <v>268</v>
      </c>
      <c r="X119" t="s">
        <v>269</v>
      </c>
      <c r="AE119" t="s">
        <v>273</v>
      </c>
      <c r="AG119" t="s">
        <v>275</v>
      </c>
      <c r="AI119" t="s">
        <v>311</v>
      </c>
      <c r="AK119">
        <v>4</v>
      </c>
      <c r="AM119">
        <v>4</v>
      </c>
      <c r="AO119" t="s">
        <v>1104</v>
      </c>
      <c r="AP119" t="s">
        <v>279</v>
      </c>
      <c r="AQ119" t="s">
        <v>283</v>
      </c>
      <c r="AR119" t="s">
        <v>537</v>
      </c>
      <c r="AS119" t="s">
        <v>1094</v>
      </c>
      <c r="AT119">
        <v>65</v>
      </c>
      <c r="AU119" t="s">
        <v>191</v>
      </c>
      <c r="AV119" s="30">
        <v>1</v>
      </c>
      <c r="AW119" t="s">
        <v>287</v>
      </c>
      <c r="AX119" t="s">
        <v>191</v>
      </c>
      <c r="AZ119" t="s">
        <v>829</v>
      </c>
      <c r="BA119">
        <v>0</v>
      </c>
      <c r="BB119" t="s">
        <v>290</v>
      </c>
      <c r="BC119" t="s">
        <v>261</v>
      </c>
      <c r="BE119" t="s">
        <v>558</v>
      </c>
      <c r="BF119" t="s">
        <v>291</v>
      </c>
      <c r="BG119" t="s">
        <v>297</v>
      </c>
      <c r="BH119" t="s">
        <v>191</v>
      </c>
      <c r="BI119">
        <v>1</v>
      </c>
      <c r="BJ119" t="s">
        <v>322</v>
      </c>
      <c r="BK119" t="s">
        <v>561</v>
      </c>
      <c r="BL119" t="s">
        <v>414</v>
      </c>
      <c r="BM119" t="s">
        <v>540</v>
      </c>
      <c r="BN119" t="str">
        <f t="shared" ref="BN119:BN128" si="8">_xlfn.CONCAT(BL119:BM119)</f>
        <v>control_music.therapy</v>
      </c>
      <c r="BO119" t="s">
        <v>268</v>
      </c>
      <c r="BQ119">
        <v>10</v>
      </c>
      <c r="BR119">
        <v>10</v>
      </c>
      <c r="BS119" s="35">
        <v>21.398002850000001</v>
      </c>
      <c r="BT119" s="35">
        <v>6.6333808840000001</v>
      </c>
      <c r="BU119" s="35">
        <v>20.976592180000001</v>
      </c>
      <c r="BV119" s="35"/>
      <c r="BW119" s="35">
        <v>71.255349499999994</v>
      </c>
      <c r="BX119" s="35">
        <v>8.1312410839999991</v>
      </c>
      <c r="BY119" s="35">
        <v>25.71324203</v>
      </c>
      <c r="CB119" t="s">
        <v>268</v>
      </c>
      <c r="CD119" t="s">
        <v>268</v>
      </c>
      <c r="CE119" t="s">
        <v>191</v>
      </c>
      <c r="CF119" t="s">
        <v>309</v>
      </c>
      <c r="CG119" t="s">
        <v>268</v>
      </c>
      <c r="CI119" t="s">
        <v>268</v>
      </c>
      <c r="CK119" s="30">
        <f t="shared" si="5"/>
        <v>1</v>
      </c>
      <c r="CL119">
        <f t="shared" si="6"/>
        <v>3</v>
      </c>
    </row>
    <row r="120" spans="1:90" hidden="1" x14ac:dyDescent="0.35">
      <c r="A120" t="s">
        <v>670</v>
      </c>
      <c r="B120" t="s">
        <v>528</v>
      </c>
      <c r="C120" t="s">
        <v>529</v>
      </c>
      <c r="D120" t="s">
        <v>530</v>
      </c>
      <c r="E120" t="s">
        <v>531</v>
      </c>
      <c r="F120">
        <v>2017</v>
      </c>
      <c r="G120" t="s">
        <v>344</v>
      </c>
      <c r="I120" t="s">
        <v>555</v>
      </c>
      <c r="K120" t="s">
        <v>178</v>
      </c>
      <c r="L120" t="s">
        <v>177</v>
      </c>
      <c r="M120" t="s">
        <v>1125</v>
      </c>
      <c r="N120" t="s">
        <v>193</v>
      </c>
      <c r="O120" t="s">
        <v>186</v>
      </c>
      <c r="P120" t="s">
        <v>533</v>
      </c>
      <c r="Q120" t="s">
        <v>186</v>
      </c>
      <c r="R120" t="s">
        <v>533</v>
      </c>
      <c r="S120" t="s">
        <v>208</v>
      </c>
      <c r="U120" t="s">
        <v>1118</v>
      </c>
      <c r="V120" t="s">
        <v>268</v>
      </c>
      <c r="X120" t="s">
        <v>269</v>
      </c>
      <c r="AE120" t="s">
        <v>273</v>
      </c>
      <c r="AG120" t="s">
        <v>275</v>
      </c>
      <c r="AI120" t="s">
        <v>348</v>
      </c>
      <c r="AK120">
        <v>4</v>
      </c>
      <c r="AM120">
        <v>4</v>
      </c>
      <c r="AO120" t="s">
        <v>1104</v>
      </c>
      <c r="AP120" t="s">
        <v>279</v>
      </c>
      <c r="AQ120" t="s">
        <v>283</v>
      </c>
      <c r="AR120" t="s">
        <v>537</v>
      </c>
      <c r="AS120" t="s">
        <v>1094</v>
      </c>
      <c r="AT120">
        <v>65</v>
      </c>
      <c r="AU120" t="s">
        <v>191</v>
      </c>
      <c r="AV120" s="30">
        <v>1</v>
      </c>
      <c r="AW120" t="s">
        <v>287</v>
      </c>
      <c r="AX120" t="s">
        <v>191</v>
      </c>
      <c r="AZ120" t="s">
        <v>829</v>
      </c>
      <c r="BA120">
        <v>0</v>
      </c>
      <c r="BB120" t="s">
        <v>290</v>
      </c>
      <c r="BC120" t="s">
        <v>261</v>
      </c>
      <c r="BE120" t="s">
        <v>558</v>
      </c>
      <c r="BF120" t="s">
        <v>291</v>
      </c>
      <c r="BG120" t="s">
        <v>297</v>
      </c>
      <c r="BH120" t="s">
        <v>191</v>
      </c>
      <c r="BI120">
        <v>1</v>
      </c>
      <c r="BJ120" t="s">
        <v>322</v>
      </c>
      <c r="BK120" t="s">
        <v>561</v>
      </c>
      <c r="BL120" t="s">
        <v>414</v>
      </c>
      <c r="BM120" t="s">
        <v>540</v>
      </c>
      <c r="BN120" t="str">
        <f t="shared" si="8"/>
        <v>control_music.therapy</v>
      </c>
      <c r="BO120" t="s">
        <v>268</v>
      </c>
      <c r="BQ120">
        <v>10</v>
      </c>
      <c r="BR120">
        <v>10</v>
      </c>
      <c r="BS120" s="35">
        <v>103.1383738</v>
      </c>
      <c r="BT120" s="35">
        <v>13.26676177</v>
      </c>
      <c r="BU120" s="35">
        <v>41.953184360000002</v>
      </c>
      <c r="BV120" s="35"/>
      <c r="BW120" s="35">
        <v>88.159771750000004</v>
      </c>
      <c r="BX120" s="35">
        <v>5.9914407990000003</v>
      </c>
      <c r="BY120" s="35">
        <v>18.946599389999999</v>
      </c>
      <c r="CB120" t="s">
        <v>268</v>
      </c>
      <c r="CD120" t="s">
        <v>268</v>
      </c>
      <c r="CE120" t="s">
        <v>191</v>
      </c>
      <c r="CF120" t="s">
        <v>309</v>
      </c>
      <c r="CG120" t="s">
        <v>268</v>
      </c>
      <c r="CI120" t="s">
        <v>268</v>
      </c>
      <c r="CK120" s="30">
        <f t="shared" si="5"/>
        <v>1</v>
      </c>
      <c r="CL120">
        <f t="shared" si="6"/>
        <v>3</v>
      </c>
    </row>
    <row r="121" spans="1:90" hidden="1" x14ac:dyDescent="0.35">
      <c r="A121" t="s">
        <v>671</v>
      </c>
      <c r="B121" t="s">
        <v>528</v>
      </c>
      <c r="C121" t="s">
        <v>529</v>
      </c>
      <c r="D121" t="s">
        <v>530</v>
      </c>
      <c r="E121" t="s">
        <v>531</v>
      </c>
      <c r="F121">
        <v>2017</v>
      </c>
      <c r="G121" t="s">
        <v>344</v>
      </c>
      <c r="I121" t="s">
        <v>556</v>
      </c>
      <c r="K121" t="s">
        <v>178</v>
      </c>
      <c r="L121" t="s">
        <v>177</v>
      </c>
      <c r="M121" t="s">
        <v>1125</v>
      </c>
      <c r="N121" t="s">
        <v>193</v>
      </c>
      <c r="O121" t="s">
        <v>187</v>
      </c>
      <c r="P121" t="s">
        <v>534</v>
      </c>
      <c r="Q121" t="s">
        <v>187</v>
      </c>
      <c r="R121" t="s">
        <v>534</v>
      </c>
      <c r="S121" t="s">
        <v>208</v>
      </c>
      <c r="U121" t="s">
        <v>1118</v>
      </c>
      <c r="V121" t="s">
        <v>268</v>
      </c>
      <c r="X121" t="s">
        <v>269</v>
      </c>
      <c r="AE121" t="s">
        <v>273</v>
      </c>
      <c r="AG121" t="s">
        <v>275</v>
      </c>
      <c r="AI121" t="s">
        <v>352</v>
      </c>
      <c r="AK121">
        <v>4</v>
      </c>
      <c r="AM121">
        <v>4</v>
      </c>
      <c r="AO121" t="s">
        <v>1104</v>
      </c>
      <c r="AP121" t="s">
        <v>279</v>
      </c>
      <c r="AQ121" t="s">
        <v>283</v>
      </c>
      <c r="AR121" t="s">
        <v>537</v>
      </c>
      <c r="AS121" t="s">
        <v>1094</v>
      </c>
      <c r="AT121">
        <v>65</v>
      </c>
      <c r="AU121" t="s">
        <v>191</v>
      </c>
      <c r="AV121" s="30">
        <v>1</v>
      </c>
      <c r="AW121" t="s">
        <v>287</v>
      </c>
      <c r="AX121" t="s">
        <v>191</v>
      </c>
      <c r="AZ121" t="s">
        <v>829</v>
      </c>
      <c r="BA121">
        <v>0</v>
      </c>
      <c r="BB121" t="s">
        <v>290</v>
      </c>
      <c r="BC121" t="s">
        <v>261</v>
      </c>
      <c r="BE121" t="s">
        <v>558</v>
      </c>
      <c r="BF121" t="s">
        <v>291</v>
      </c>
      <c r="BG121" t="s">
        <v>297</v>
      </c>
      <c r="BH121" t="s">
        <v>191</v>
      </c>
      <c r="BI121">
        <v>1</v>
      </c>
      <c r="BJ121" t="s">
        <v>322</v>
      </c>
      <c r="BK121" t="s">
        <v>561</v>
      </c>
      <c r="BL121" t="s">
        <v>414</v>
      </c>
      <c r="BM121" t="s">
        <v>540</v>
      </c>
      <c r="BN121" t="str">
        <f t="shared" si="8"/>
        <v>control_music.therapy</v>
      </c>
      <c r="BO121" t="s">
        <v>268</v>
      </c>
      <c r="BQ121">
        <v>10</v>
      </c>
      <c r="BR121">
        <v>10</v>
      </c>
      <c r="BS121" s="35">
        <v>132.4536377</v>
      </c>
      <c r="BT121" s="35">
        <v>9.4151212550000007</v>
      </c>
      <c r="BU121" s="35">
        <v>29.773227609999999</v>
      </c>
      <c r="BV121" s="35"/>
      <c r="BW121" s="35">
        <v>115.54921539999999</v>
      </c>
      <c r="BX121" s="35">
        <v>9.4151212550000007</v>
      </c>
      <c r="BY121" s="35">
        <v>29.773227609999999</v>
      </c>
      <c r="CB121" t="s">
        <v>268</v>
      </c>
      <c r="CD121" t="s">
        <v>268</v>
      </c>
      <c r="CE121" t="s">
        <v>191</v>
      </c>
      <c r="CF121" t="s">
        <v>309</v>
      </c>
      <c r="CG121" t="s">
        <v>268</v>
      </c>
      <c r="CI121" t="s">
        <v>268</v>
      </c>
      <c r="CK121" s="30">
        <f t="shared" si="5"/>
        <v>1</v>
      </c>
      <c r="CL121">
        <f t="shared" si="6"/>
        <v>3</v>
      </c>
    </row>
    <row r="122" spans="1:90" hidden="1" x14ac:dyDescent="0.35">
      <c r="A122" t="s">
        <v>672</v>
      </c>
      <c r="B122" t="s">
        <v>528</v>
      </c>
      <c r="C122" t="s">
        <v>529</v>
      </c>
      <c r="D122" t="s">
        <v>530</v>
      </c>
      <c r="E122" t="s">
        <v>531</v>
      </c>
      <c r="F122">
        <v>2017</v>
      </c>
      <c r="G122" t="s">
        <v>344</v>
      </c>
      <c r="I122" t="s">
        <v>557</v>
      </c>
      <c r="K122" t="s">
        <v>178</v>
      </c>
      <c r="L122" t="s">
        <v>177</v>
      </c>
      <c r="M122" t="s">
        <v>1125</v>
      </c>
      <c r="N122" t="s">
        <v>193</v>
      </c>
      <c r="O122" t="s">
        <v>188</v>
      </c>
      <c r="P122" t="s">
        <v>535</v>
      </c>
      <c r="Q122" t="s">
        <v>188</v>
      </c>
      <c r="R122" t="s">
        <v>535</v>
      </c>
      <c r="S122" t="s">
        <v>208</v>
      </c>
      <c r="U122" t="s">
        <v>1118</v>
      </c>
      <c r="V122" t="s">
        <v>268</v>
      </c>
      <c r="X122" t="s">
        <v>269</v>
      </c>
      <c r="AE122" t="s">
        <v>273</v>
      </c>
      <c r="AG122" t="s">
        <v>275</v>
      </c>
      <c r="AI122" t="s">
        <v>536</v>
      </c>
      <c r="AK122">
        <v>4</v>
      </c>
      <c r="AM122">
        <v>4</v>
      </c>
      <c r="AO122" t="s">
        <v>1104</v>
      </c>
      <c r="AP122" t="s">
        <v>279</v>
      </c>
      <c r="AQ122" t="s">
        <v>283</v>
      </c>
      <c r="AR122" t="s">
        <v>537</v>
      </c>
      <c r="AS122" t="s">
        <v>1094</v>
      </c>
      <c r="AT122">
        <v>65</v>
      </c>
      <c r="AU122" t="s">
        <v>191</v>
      </c>
      <c r="AV122" s="30">
        <v>1</v>
      </c>
      <c r="AW122" t="s">
        <v>287</v>
      </c>
      <c r="AX122" t="s">
        <v>191</v>
      </c>
      <c r="AZ122" t="s">
        <v>829</v>
      </c>
      <c r="BA122">
        <v>0</v>
      </c>
      <c r="BB122" t="s">
        <v>290</v>
      </c>
      <c r="BC122" t="s">
        <v>261</v>
      </c>
      <c r="BE122" t="s">
        <v>558</v>
      </c>
      <c r="BF122" t="s">
        <v>291</v>
      </c>
      <c r="BG122" t="s">
        <v>297</v>
      </c>
      <c r="BH122" t="s">
        <v>191</v>
      </c>
      <c r="BI122">
        <v>1</v>
      </c>
      <c r="BJ122" t="s">
        <v>322</v>
      </c>
      <c r="BK122" t="s">
        <v>561</v>
      </c>
      <c r="BL122" t="s">
        <v>414</v>
      </c>
      <c r="BM122" t="s">
        <v>540</v>
      </c>
      <c r="BN122" t="str">
        <f t="shared" si="8"/>
        <v>control_music.therapy</v>
      </c>
      <c r="BO122" t="s">
        <v>268</v>
      </c>
      <c r="BQ122">
        <v>10</v>
      </c>
      <c r="BR122">
        <v>10</v>
      </c>
      <c r="BS122" s="35">
        <v>90.299572040000001</v>
      </c>
      <c r="BT122" s="35">
        <v>11.55492154</v>
      </c>
      <c r="BU122" s="35">
        <v>36.53987025</v>
      </c>
      <c r="BV122" s="35"/>
      <c r="BW122" s="35">
        <v>108.4878745</v>
      </c>
      <c r="BX122" s="35">
        <v>9.4151212550000007</v>
      </c>
      <c r="BY122" s="35">
        <v>29.773227609999999</v>
      </c>
      <c r="CB122" t="s">
        <v>268</v>
      </c>
      <c r="CD122" t="s">
        <v>268</v>
      </c>
      <c r="CE122" t="s">
        <v>191</v>
      </c>
      <c r="CF122" t="s">
        <v>309</v>
      </c>
      <c r="CG122" t="s">
        <v>268</v>
      </c>
      <c r="CI122" t="s">
        <v>268</v>
      </c>
      <c r="CK122" s="30">
        <f t="shared" si="5"/>
        <v>1</v>
      </c>
      <c r="CL122">
        <f t="shared" si="6"/>
        <v>3</v>
      </c>
    </row>
    <row r="123" spans="1:90" hidden="1" x14ac:dyDescent="0.35">
      <c r="A123" t="s">
        <v>673</v>
      </c>
      <c r="B123" t="s">
        <v>528</v>
      </c>
      <c r="C123" t="s">
        <v>529</v>
      </c>
      <c r="D123" t="s">
        <v>530</v>
      </c>
      <c r="E123" t="s">
        <v>531</v>
      </c>
      <c r="F123">
        <v>2017</v>
      </c>
      <c r="G123" t="s">
        <v>175</v>
      </c>
      <c r="I123" t="s">
        <v>554</v>
      </c>
      <c r="K123" t="s">
        <v>178</v>
      </c>
      <c r="L123" t="s">
        <v>177</v>
      </c>
      <c r="M123" t="s">
        <v>1125</v>
      </c>
      <c r="N123" t="s">
        <v>179</v>
      </c>
      <c r="O123" t="s">
        <v>185</v>
      </c>
      <c r="P123" t="s">
        <v>532</v>
      </c>
      <c r="Q123" t="s">
        <v>185</v>
      </c>
      <c r="R123" t="s">
        <v>532</v>
      </c>
      <c r="S123" t="s">
        <v>208</v>
      </c>
      <c r="U123" t="s">
        <v>1118</v>
      </c>
      <c r="V123" t="s">
        <v>268</v>
      </c>
      <c r="X123" t="s">
        <v>269</v>
      </c>
      <c r="AE123" t="s">
        <v>273</v>
      </c>
      <c r="AG123" t="s">
        <v>275</v>
      </c>
      <c r="AI123" t="s">
        <v>311</v>
      </c>
      <c r="AK123">
        <v>4</v>
      </c>
      <c r="AM123">
        <v>4</v>
      </c>
      <c r="AO123" t="s">
        <v>1104</v>
      </c>
      <c r="AP123" t="s">
        <v>279</v>
      </c>
      <c r="AQ123" t="s">
        <v>283</v>
      </c>
      <c r="AR123" t="s">
        <v>537</v>
      </c>
      <c r="AS123" t="s">
        <v>1094</v>
      </c>
      <c r="AT123">
        <v>65</v>
      </c>
      <c r="AU123" t="s">
        <v>191</v>
      </c>
      <c r="AV123" s="30">
        <v>1</v>
      </c>
      <c r="AW123" t="s">
        <v>287</v>
      </c>
      <c r="AX123" t="s">
        <v>191</v>
      </c>
      <c r="AZ123" t="s">
        <v>829</v>
      </c>
      <c r="BA123">
        <v>0</v>
      </c>
      <c r="BB123" t="s">
        <v>290</v>
      </c>
      <c r="BC123" t="s">
        <v>261</v>
      </c>
      <c r="BE123" t="s">
        <v>558</v>
      </c>
      <c r="BF123" t="s">
        <v>291</v>
      </c>
      <c r="BG123" t="s">
        <v>297</v>
      </c>
      <c r="BH123" t="s">
        <v>191</v>
      </c>
      <c r="BI123">
        <v>1</v>
      </c>
      <c r="BJ123" t="s">
        <v>322</v>
      </c>
      <c r="BK123" t="s">
        <v>560</v>
      </c>
      <c r="BL123" t="s">
        <v>414</v>
      </c>
      <c r="BM123" t="s">
        <v>540</v>
      </c>
      <c r="BN123" t="str">
        <f t="shared" si="8"/>
        <v>control_music.therapy</v>
      </c>
      <c r="BO123" t="s">
        <v>268</v>
      </c>
      <c r="BQ123">
        <v>10</v>
      </c>
      <c r="BR123">
        <v>10</v>
      </c>
      <c r="BS123" s="35">
        <v>130.72378140000001</v>
      </c>
      <c r="BT123" s="35">
        <v>8.1979320530000006</v>
      </c>
      <c r="BU123" s="35">
        <v>25.924137389999999</v>
      </c>
      <c r="BV123" s="35"/>
      <c r="BW123" s="35">
        <v>39.881831609999999</v>
      </c>
      <c r="BX123" s="35">
        <v>9.9704579029999998</v>
      </c>
      <c r="BY123" s="35">
        <v>31.529356289999999</v>
      </c>
      <c r="CB123" t="s">
        <v>268</v>
      </c>
      <c r="CD123" t="s">
        <v>268</v>
      </c>
      <c r="CE123" t="s">
        <v>191</v>
      </c>
      <c r="CF123" t="s">
        <v>309</v>
      </c>
      <c r="CG123" t="s">
        <v>268</v>
      </c>
      <c r="CI123" t="s">
        <v>268</v>
      </c>
      <c r="CK123" s="30">
        <f t="shared" si="5"/>
        <v>1</v>
      </c>
      <c r="CL123">
        <f t="shared" si="6"/>
        <v>3</v>
      </c>
    </row>
    <row r="124" spans="1:90" hidden="1" x14ac:dyDescent="0.35">
      <c r="A124" t="s">
        <v>674</v>
      </c>
      <c r="B124" t="s">
        <v>528</v>
      </c>
      <c r="C124" t="s">
        <v>529</v>
      </c>
      <c r="D124" t="s">
        <v>530</v>
      </c>
      <c r="E124" t="s">
        <v>531</v>
      </c>
      <c r="F124">
        <v>2017</v>
      </c>
      <c r="G124" t="s">
        <v>175</v>
      </c>
      <c r="I124" t="s">
        <v>555</v>
      </c>
      <c r="K124" t="s">
        <v>178</v>
      </c>
      <c r="L124" t="s">
        <v>177</v>
      </c>
      <c r="M124" t="s">
        <v>1125</v>
      </c>
      <c r="N124" t="s">
        <v>179</v>
      </c>
      <c r="O124" t="s">
        <v>186</v>
      </c>
      <c r="P124" t="s">
        <v>533</v>
      </c>
      <c r="Q124" t="s">
        <v>186</v>
      </c>
      <c r="R124" t="s">
        <v>533</v>
      </c>
      <c r="S124" t="s">
        <v>208</v>
      </c>
      <c r="U124" t="s">
        <v>1118</v>
      </c>
      <c r="V124" t="s">
        <v>268</v>
      </c>
      <c r="X124" t="s">
        <v>269</v>
      </c>
      <c r="AE124" t="s">
        <v>273</v>
      </c>
      <c r="AG124" t="s">
        <v>275</v>
      </c>
      <c r="AI124" t="s">
        <v>348</v>
      </c>
      <c r="AK124">
        <v>4</v>
      </c>
      <c r="AM124">
        <v>4</v>
      </c>
      <c r="AO124" t="s">
        <v>1104</v>
      </c>
      <c r="AP124" t="s">
        <v>279</v>
      </c>
      <c r="AQ124" t="s">
        <v>283</v>
      </c>
      <c r="AR124" t="s">
        <v>537</v>
      </c>
      <c r="AS124" t="s">
        <v>1094</v>
      </c>
      <c r="AT124">
        <v>65</v>
      </c>
      <c r="AU124" t="s">
        <v>191</v>
      </c>
      <c r="AV124" s="30">
        <v>1</v>
      </c>
      <c r="AW124" t="s">
        <v>287</v>
      </c>
      <c r="AX124" t="s">
        <v>191</v>
      </c>
      <c r="AZ124" t="s">
        <v>829</v>
      </c>
      <c r="BA124">
        <v>0</v>
      </c>
      <c r="BB124" t="s">
        <v>290</v>
      </c>
      <c r="BC124" t="s">
        <v>261</v>
      </c>
      <c r="BE124" t="s">
        <v>558</v>
      </c>
      <c r="BF124" t="s">
        <v>291</v>
      </c>
      <c r="BG124" t="s">
        <v>297</v>
      </c>
      <c r="BH124" t="s">
        <v>191</v>
      </c>
      <c r="BI124">
        <v>1</v>
      </c>
      <c r="BJ124" t="s">
        <v>322</v>
      </c>
      <c r="BK124" t="s">
        <v>560</v>
      </c>
      <c r="BL124" t="s">
        <v>414</v>
      </c>
      <c r="BM124" t="s">
        <v>540</v>
      </c>
      <c r="BN124" t="str">
        <f t="shared" si="8"/>
        <v>control_music.therapy</v>
      </c>
      <c r="BO124" t="s">
        <v>268</v>
      </c>
      <c r="BQ124">
        <v>10</v>
      </c>
      <c r="BR124">
        <v>10</v>
      </c>
      <c r="BS124" s="35">
        <v>124.74150659999999</v>
      </c>
      <c r="BT124" s="35">
        <v>10.6351551</v>
      </c>
      <c r="BU124" s="35">
        <v>33.631313370000001</v>
      </c>
      <c r="BV124" s="35"/>
      <c r="BW124" s="35">
        <v>103.028065</v>
      </c>
      <c r="BX124" s="35">
        <v>8.1979320530000006</v>
      </c>
      <c r="BY124" s="35">
        <v>25.924137389999999</v>
      </c>
      <c r="CB124" t="s">
        <v>268</v>
      </c>
      <c r="CD124" t="s">
        <v>268</v>
      </c>
      <c r="CE124" t="s">
        <v>191</v>
      </c>
      <c r="CF124" t="s">
        <v>309</v>
      </c>
      <c r="CG124" t="s">
        <v>268</v>
      </c>
      <c r="CI124" t="s">
        <v>268</v>
      </c>
      <c r="CK124" s="30">
        <f t="shared" si="5"/>
        <v>1</v>
      </c>
      <c r="CL124">
        <f t="shared" si="6"/>
        <v>3</v>
      </c>
    </row>
    <row r="125" spans="1:90" hidden="1" x14ac:dyDescent="0.35">
      <c r="A125" t="s">
        <v>675</v>
      </c>
      <c r="B125" t="s">
        <v>528</v>
      </c>
      <c r="C125" t="s">
        <v>529</v>
      </c>
      <c r="D125" t="s">
        <v>530</v>
      </c>
      <c r="E125" t="s">
        <v>531</v>
      </c>
      <c r="F125">
        <v>2017</v>
      </c>
      <c r="G125" t="s">
        <v>175</v>
      </c>
      <c r="I125" t="s">
        <v>556</v>
      </c>
      <c r="K125" t="s">
        <v>178</v>
      </c>
      <c r="L125" t="s">
        <v>177</v>
      </c>
      <c r="M125" t="s">
        <v>1125</v>
      </c>
      <c r="N125" t="s">
        <v>179</v>
      </c>
      <c r="O125" t="s">
        <v>187</v>
      </c>
      <c r="P125" t="s">
        <v>534</v>
      </c>
      <c r="Q125" t="s">
        <v>187</v>
      </c>
      <c r="R125" t="s">
        <v>534</v>
      </c>
      <c r="S125" t="s">
        <v>208</v>
      </c>
      <c r="U125" t="s">
        <v>1118</v>
      </c>
      <c r="V125" t="s">
        <v>268</v>
      </c>
      <c r="X125" t="s">
        <v>269</v>
      </c>
      <c r="AE125" t="s">
        <v>273</v>
      </c>
      <c r="AG125" t="s">
        <v>275</v>
      </c>
      <c r="AI125" t="s">
        <v>352</v>
      </c>
      <c r="AK125">
        <v>4</v>
      </c>
      <c r="AM125">
        <v>4</v>
      </c>
      <c r="AO125" t="s">
        <v>1104</v>
      </c>
      <c r="AP125" t="s">
        <v>279</v>
      </c>
      <c r="AQ125" t="s">
        <v>283</v>
      </c>
      <c r="AR125" t="s">
        <v>537</v>
      </c>
      <c r="AS125" t="s">
        <v>1094</v>
      </c>
      <c r="AT125">
        <v>65</v>
      </c>
      <c r="AU125" t="s">
        <v>191</v>
      </c>
      <c r="AV125" s="30">
        <v>1</v>
      </c>
      <c r="AW125" t="s">
        <v>287</v>
      </c>
      <c r="AX125" t="s">
        <v>191</v>
      </c>
      <c r="AZ125" t="s">
        <v>829</v>
      </c>
      <c r="BA125">
        <v>0</v>
      </c>
      <c r="BB125" t="s">
        <v>290</v>
      </c>
      <c r="BC125" t="s">
        <v>261</v>
      </c>
      <c r="BE125" t="s">
        <v>558</v>
      </c>
      <c r="BF125" t="s">
        <v>291</v>
      </c>
      <c r="BG125" t="s">
        <v>297</v>
      </c>
      <c r="BH125" t="s">
        <v>191</v>
      </c>
      <c r="BI125">
        <v>1</v>
      </c>
      <c r="BJ125" t="s">
        <v>322</v>
      </c>
      <c r="BK125" t="s">
        <v>560</v>
      </c>
      <c r="BL125" t="s">
        <v>414</v>
      </c>
      <c r="BM125" t="s">
        <v>540</v>
      </c>
      <c r="BN125" t="str">
        <f t="shared" si="8"/>
        <v>control_music.therapy</v>
      </c>
      <c r="BO125" t="s">
        <v>268</v>
      </c>
      <c r="BQ125">
        <v>10</v>
      </c>
      <c r="BR125">
        <v>10</v>
      </c>
      <c r="BS125" s="35">
        <v>67.134416540000004</v>
      </c>
      <c r="BT125" s="35">
        <v>3.5450516990000001</v>
      </c>
      <c r="BU125" s="35">
        <v>11.21043779</v>
      </c>
      <c r="BV125" s="35"/>
      <c r="BW125" s="35">
        <v>80.206794680000002</v>
      </c>
      <c r="BX125" s="35">
        <v>10.41358936</v>
      </c>
      <c r="BY125" s="35">
        <v>32.930661010000001</v>
      </c>
      <c r="CB125" t="s">
        <v>268</v>
      </c>
      <c r="CD125" t="s">
        <v>268</v>
      </c>
      <c r="CE125" t="s">
        <v>191</v>
      </c>
      <c r="CF125" t="s">
        <v>309</v>
      </c>
      <c r="CG125" t="s">
        <v>268</v>
      </c>
      <c r="CI125" t="s">
        <v>268</v>
      </c>
      <c r="CK125" s="30">
        <f t="shared" si="5"/>
        <v>1</v>
      </c>
      <c r="CL125">
        <f t="shared" si="6"/>
        <v>3</v>
      </c>
    </row>
    <row r="126" spans="1:90" hidden="1" x14ac:dyDescent="0.35">
      <c r="A126" t="s">
        <v>676</v>
      </c>
      <c r="B126" t="s">
        <v>528</v>
      </c>
      <c r="C126" t="s">
        <v>529</v>
      </c>
      <c r="D126" t="s">
        <v>530</v>
      </c>
      <c r="E126" t="s">
        <v>531</v>
      </c>
      <c r="F126">
        <v>2017</v>
      </c>
      <c r="G126" t="s">
        <v>175</v>
      </c>
      <c r="I126" t="s">
        <v>557</v>
      </c>
      <c r="K126" t="s">
        <v>178</v>
      </c>
      <c r="L126" t="s">
        <v>177</v>
      </c>
      <c r="M126" t="s">
        <v>1125</v>
      </c>
      <c r="N126" t="s">
        <v>179</v>
      </c>
      <c r="O126" t="s">
        <v>188</v>
      </c>
      <c r="P126" t="s">
        <v>535</v>
      </c>
      <c r="Q126" t="s">
        <v>188</v>
      </c>
      <c r="R126" t="s">
        <v>535</v>
      </c>
      <c r="S126" t="s">
        <v>208</v>
      </c>
      <c r="U126" t="s">
        <v>1118</v>
      </c>
      <c r="V126" t="s">
        <v>268</v>
      </c>
      <c r="X126" t="s">
        <v>269</v>
      </c>
      <c r="AE126" t="s">
        <v>273</v>
      </c>
      <c r="AG126" t="s">
        <v>275</v>
      </c>
      <c r="AI126" t="s">
        <v>536</v>
      </c>
      <c r="AK126">
        <v>4</v>
      </c>
      <c r="AM126">
        <v>4</v>
      </c>
      <c r="AO126" t="s">
        <v>1104</v>
      </c>
      <c r="AP126" t="s">
        <v>279</v>
      </c>
      <c r="AQ126" t="s">
        <v>283</v>
      </c>
      <c r="AR126" t="s">
        <v>537</v>
      </c>
      <c r="AS126" t="s">
        <v>1094</v>
      </c>
      <c r="AT126">
        <v>65</v>
      </c>
      <c r="AU126" t="s">
        <v>191</v>
      </c>
      <c r="AV126" s="30">
        <v>1</v>
      </c>
      <c r="AW126" t="s">
        <v>287</v>
      </c>
      <c r="AX126" t="s">
        <v>191</v>
      </c>
      <c r="AZ126" t="s">
        <v>829</v>
      </c>
      <c r="BA126">
        <v>0</v>
      </c>
      <c r="BB126" t="s">
        <v>290</v>
      </c>
      <c r="BC126" t="s">
        <v>261</v>
      </c>
      <c r="BE126" t="s">
        <v>558</v>
      </c>
      <c r="BF126" t="s">
        <v>291</v>
      </c>
      <c r="BG126" t="s">
        <v>297</v>
      </c>
      <c r="BH126" t="s">
        <v>191</v>
      </c>
      <c r="BI126">
        <v>1</v>
      </c>
      <c r="BJ126" t="s">
        <v>322</v>
      </c>
      <c r="BK126" t="s">
        <v>560</v>
      </c>
      <c r="BL126" t="s">
        <v>414</v>
      </c>
      <c r="BM126" t="s">
        <v>540</v>
      </c>
      <c r="BN126" t="str">
        <f t="shared" si="8"/>
        <v>control_music.therapy</v>
      </c>
      <c r="BO126" t="s">
        <v>268</v>
      </c>
      <c r="BQ126">
        <v>10</v>
      </c>
      <c r="BR126">
        <v>10</v>
      </c>
      <c r="BS126" s="35">
        <v>119.8670606</v>
      </c>
      <c r="BT126" s="35">
        <v>15.952732640000001</v>
      </c>
      <c r="BU126" s="35">
        <v>50.446970059999998</v>
      </c>
      <c r="BV126" s="35"/>
      <c r="BW126" s="35">
        <v>99.92614476</v>
      </c>
      <c r="BX126" s="35">
        <v>11.52141802</v>
      </c>
      <c r="BY126" s="35">
        <v>36.433922819999999</v>
      </c>
      <c r="CB126" t="s">
        <v>268</v>
      </c>
      <c r="CD126" t="s">
        <v>268</v>
      </c>
      <c r="CE126" t="s">
        <v>191</v>
      </c>
      <c r="CF126" t="s">
        <v>309</v>
      </c>
      <c r="CG126" t="s">
        <v>268</v>
      </c>
      <c r="CI126" t="s">
        <v>268</v>
      </c>
      <c r="CK126" s="30">
        <f t="shared" si="5"/>
        <v>1</v>
      </c>
      <c r="CL126">
        <f t="shared" si="6"/>
        <v>3</v>
      </c>
    </row>
    <row r="127" spans="1:90" hidden="1" x14ac:dyDescent="0.35">
      <c r="A127" t="s">
        <v>677</v>
      </c>
      <c r="B127" t="s">
        <v>562</v>
      </c>
      <c r="C127" t="s">
        <v>563</v>
      </c>
      <c r="D127" t="s">
        <v>507</v>
      </c>
      <c r="E127" t="s">
        <v>564</v>
      </c>
      <c r="F127">
        <v>2025</v>
      </c>
      <c r="G127" t="s">
        <v>175</v>
      </c>
      <c r="I127" t="s">
        <v>176</v>
      </c>
      <c r="K127" t="s">
        <v>180</v>
      </c>
      <c r="L127" t="s">
        <v>181</v>
      </c>
      <c r="M127" t="s">
        <v>364</v>
      </c>
      <c r="N127" t="s">
        <v>193</v>
      </c>
      <c r="O127" t="s">
        <v>187</v>
      </c>
      <c r="P127" t="s">
        <v>565</v>
      </c>
      <c r="Q127" t="s">
        <v>187</v>
      </c>
      <c r="R127" t="s">
        <v>566</v>
      </c>
      <c r="S127" t="s">
        <v>204</v>
      </c>
      <c r="U127" t="s">
        <v>1117</v>
      </c>
      <c r="V127" t="s">
        <v>268</v>
      </c>
      <c r="X127" t="s">
        <v>269</v>
      </c>
      <c r="AE127" t="s">
        <v>274</v>
      </c>
      <c r="AF127" t="s">
        <v>567</v>
      </c>
      <c r="AG127" t="s">
        <v>277</v>
      </c>
      <c r="AI127" t="s">
        <v>345</v>
      </c>
      <c r="AK127">
        <v>2</v>
      </c>
      <c r="AM127">
        <v>24</v>
      </c>
      <c r="AN127" t="s">
        <v>568</v>
      </c>
      <c r="AO127" t="s">
        <v>1105</v>
      </c>
      <c r="AP127" t="s">
        <v>280</v>
      </c>
      <c r="AQ127" t="s">
        <v>285</v>
      </c>
      <c r="AR127" t="s">
        <v>511</v>
      </c>
      <c r="AS127" t="s">
        <v>190</v>
      </c>
      <c r="AT127">
        <v>70</v>
      </c>
      <c r="AU127" t="s">
        <v>191</v>
      </c>
      <c r="AV127" s="30">
        <v>1</v>
      </c>
      <c r="AW127" t="s">
        <v>287</v>
      </c>
      <c r="AX127" t="s">
        <v>191</v>
      </c>
      <c r="AZ127" t="s">
        <v>829</v>
      </c>
      <c r="BA127">
        <v>0</v>
      </c>
      <c r="BB127" t="s">
        <v>289</v>
      </c>
      <c r="BC127" t="s">
        <v>243</v>
      </c>
      <c r="BE127" t="s">
        <v>434</v>
      </c>
      <c r="BF127" t="s">
        <v>293</v>
      </c>
      <c r="BG127" t="s">
        <v>516</v>
      </c>
      <c r="BH127" t="s">
        <v>191</v>
      </c>
      <c r="BI127">
        <v>0</v>
      </c>
      <c r="BJ127" t="s">
        <v>370</v>
      </c>
      <c r="BK127" t="s">
        <v>569</v>
      </c>
      <c r="BL127" t="s">
        <v>573</v>
      </c>
      <c r="BM127" t="s">
        <v>574</v>
      </c>
      <c r="BN127" t="str">
        <f t="shared" si="8"/>
        <v>SHAM_SHAM+MUSIC</v>
      </c>
      <c r="BO127" t="s">
        <v>267</v>
      </c>
      <c r="BQ127">
        <v>10</v>
      </c>
      <c r="BR127">
        <v>10</v>
      </c>
      <c r="BS127" s="35">
        <v>1304.7619050000001</v>
      </c>
      <c r="BT127" s="35">
        <v>119.047619</v>
      </c>
      <c r="BU127" s="35">
        <v>376.46162620000001</v>
      </c>
      <c r="BV127" s="35"/>
      <c r="BW127" s="35">
        <v>1747.619048</v>
      </c>
      <c r="BX127" s="35">
        <v>128.57142859999999</v>
      </c>
      <c r="BY127" s="35">
        <v>406.5785563</v>
      </c>
      <c r="CB127" t="s">
        <v>268</v>
      </c>
      <c r="CD127" t="s">
        <v>267</v>
      </c>
      <c r="CE127" t="s">
        <v>191</v>
      </c>
      <c r="CF127" t="s">
        <v>309</v>
      </c>
      <c r="CG127" t="s">
        <v>268</v>
      </c>
      <c r="CI127" t="s">
        <v>267</v>
      </c>
      <c r="CJ127" t="s">
        <v>575</v>
      </c>
      <c r="CK127" s="30">
        <f t="shared" si="5"/>
        <v>1</v>
      </c>
      <c r="CL127">
        <f t="shared" si="6"/>
        <v>2</v>
      </c>
    </row>
    <row r="128" spans="1:90" hidden="1" x14ac:dyDescent="0.35">
      <c r="A128" t="s">
        <v>678</v>
      </c>
      <c r="B128" t="s">
        <v>562</v>
      </c>
      <c r="C128" t="s">
        <v>563</v>
      </c>
      <c r="D128" t="s">
        <v>507</v>
      </c>
      <c r="E128" t="s">
        <v>564</v>
      </c>
      <c r="F128">
        <v>2025</v>
      </c>
      <c r="G128" t="s">
        <v>175</v>
      </c>
      <c r="I128" t="s">
        <v>331</v>
      </c>
      <c r="K128" t="s">
        <v>180</v>
      </c>
      <c r="L128" t="s">
        <v>181</v>
      </c>
      <c r="M128" t="s">
        <v>364</v>
      </c>
      <c r="N128" t="s">
        <v>193</v>
      </c>
      <c r="O128" t="s">
        <v>187</v>
      </c>
      <c r="P128" t="s">
        <v>565</v>
      </c>
      <c r="Q128" t="s">
        <v>187</v>
      </c>
      <c r="R128" t="s">
        <v>566</v>
      </c>
      <c r="S128" t="s">
        <v>204</v>
      </c>
      <c r="U128" t="s">
        <v>1117</v>
      </c>
      <c r="V128" t="s">
        <v>268</v>
      </c>
      <c r="X128" t="s">
        <v>269</v>
      </c>
      <c r="AE128" t="s">
        <v>274</v>
      </c>
      <c r="AF128" t="s">
        <v>567</v>
      </c>
      <c r="AG128" t="s">
        <v>277</v>
      </c>
      <c r="AI128" t="s">
        <v>345</v>
      </c>
      <c r="AK128">
        <v>2</v>
      </c>
      <c r="AM128">
        <v>24</v>
      </c>
      <c r="AN128" t="s">
        <v>568</v>
      </c>
      <c r="AO128" t="s">
        <v>1105</v>
      </c>
      <c r="AP128" t="s">
        <v>280</v>
      </c>
      <c r="AQ128" t="s">
        <v>285</v>
      </c>
      <c r="AR128" t="s">
        <v>511</v>
      </c>
      <c r="AS128" t="s">
        <v>190</v>
      </c>
      <c r="AT128">
        <v>70</v>
      </c>
      <c r="AU128" t="s">
        <v>191</v>
      </c>
      <c r="AV128" s="30">
        <v>1</v>
      </c>
      <c r="AW128" t="s">
        <v>287</v>
      </c>
      <c r="AX128" t="s">
        <v>191</v>
      </c>
      <c r="AZ128" t="s">
        <v>829</v>
      </c>
      <c r="BA128">
        <v>0</v>
      </c>
      <c r="BB128" t="s">
        <v>289</v>
      </c>
      <c r="BC128" t="s">
        <v>243</v>
      </c>
      <c r="BE128" t="s">
        <v>398</v>
      </c>
      <c r="BF128" t="s">
        <v>291</v>
      </c>
      <c r="BG128" t="s">
        <v>297</v>
      </c>
      <c r="BH128" t="s">
        <v>191</v>
      </c>
      <c r="BI128">
        <v>0</v>
      </c>
      <c r="BJ128" t="s">
        <v>370</v>
      </c>
      <c r="BK128" t="s">
        <v>572</v>
      </c>
      <c r="BL128" t="s">
        <v>573</v>
      </c>
      <c r="BM128" t="s">
        <v>574</v>
      </c>
      <c r="BN128" t="str">
        <f t="shared" si="8"/>
        <v>SHAM_SHAM+MUSIC</v>
      </c>
      <c r="BO128" t="s">
        <v>267</v>
      </c>
      <c r="BQ128">
        <v>10</v>
      </c>
      <c r="BR128">
        <v>10</v>
      </c>
      <c r="BS128" s="35">
        <v>14.861878450000001</v>
      </c>
      <c r="BT128" s="35">
        <v>1.5469613259999999</v>
      </c>
      <c r="BU128" s="35">
        <v>4.8919212419999996</v>
      </c>
      <c r="BV128" s="35"/>
      <c r="BW128" s="35">
        <v>16.961325970000001</v>
      </c>
      <c r="BX128" s="35">
        <v>1.767955801</v>
      </c>
      <c r="BY128" s="35">
        <v>5.590767134</v>
      </c>
      <c r="CB128" t="s">
        <v>268</v>
      </c>
      <c r="CD128" t="s">
        <v>267</v>
      </c>
      <c r="CE128" t="s">
        <v>191</v>
      </c>
      <c r="CF128" t="s">
        <v>309</v>
      </c>
      <c r="CG128" t="s">
        <v>268</v>
      </c>
      <c r="CI128" t="s">
        <v>267</v>
      </c>
      <c r="CJ128" t="s">
        <v>575</v>
      </c>
      <c r="CK128" s="30">
        <f t="shared" si="5"/>
        <v>1</v>
      </c>
      <c r="CL128">
        <f t="shared" si="6"/>
        <v>2</v>
      </c>
    </row>
    <row r="129" spans="1:90" hidden="1" x14ac:dyDescent="0.35">
      <c r="A129" t="s">
        <v>679</v>
      </c>
      <c r="B129" t="s">
        <v>562</v>
      </c>
      <c r="C129" t="s">
        <v>563</v>
      </c>
      <c r="D129" t="s">
        <v>507</v>
      </c>
      <c r="E129" t="s">
        <v>564</v>
      </c>
      <c r="F129">
        <v>2025</v>
      </c>
      <c r="G129" t="s">
        <v>175</v>
      </c>
      <c r="I129" t="s">
        <v>332</v>
      </c>
      <c r="K129" t="s">
        <v>180</v>
      </c>
      <c r="L129" t="s">
        <v>181</v>
      </c>
      <c r="M129" t="s">
        <v>364</v>
      </c>
      <c r="N129" t="s">
        <v>193</v>
      </c>
      <c r="O129" t="s">
        <v>187</v>
      </c>
      <c r="P129" t="s">
        <v>565</v>
      </c>
      <c r="Q129" t="s">
        <v>187</v>
      </c>
      <c r="R129" t="s">
        <v>566</v>
      </c>
      <c r="S129" t="s">
        <v>204</v>
      </c>
      <c r="U129" t="s">
        <v>1117</v>
      </c>
      <c r="V129" t="s">
        <v>268</v>
      </c>
      <c r="X129" t="s">
        <v>269</v>
      </c>
      <c r="AE129" t="s">
        <v>274</v>
      </c>
      <c r="AF129" t="s">
        <v>567</v>
      </c>
      <c r="AG129" t="s">
        <v>277</v>
      </c>
      <c r="AI129" t="s">
        <v>345</v>
      </c>
      <c r="AK129">
        <v>2</v>
      </c>
      <c r="AM129">
        <v>24</v>
      </c>
      <c r="AN129" t="s">
        <v>568</v>
      </c>
      <c r="AO129" t="s">
        <v>1105</v>
      </c>
      <c r="AP129" t="s">
        <v>280</v>
      </c>
      <c r="AQ129" t="s">
        <v>285</v>
      </c>
      <c r="AR129" t="s">
        <v>511</v>
      </c>
      <c r="AS129" t="s">
        <v>190</v>
      </c>
      <c r="AT129">
        <v>70</v>
      </c>
      <c r="AU129" t="s">
        <v>191</v>
      </c>
      <c r="AV129" s="30">
        <v>1</v>
      </c>
      <c r="AW129" t="s">
        <v>287</v>
      </c>
      <c r="AX129" t="s">
        <v>191</v>
      </c>
      <c r="AZ129" t="s">
        <v>829</v>
      </c>
      <c r="BA129">
        <v>0</v>
      </c>
      <c r="BB129" t="s">
        <v>290</v>
      </c>
      <c r="BC129" t="s">
        <v>261</v>
      </c>
      <c r="BE129" t="s">
        <v>559</v>
      </c>
      <c r="BF129" t="s">
        <v>291</v>
      </c>
      <c r="BG129" t="s">
        <v>297</v>
      </c>
      <c r="BH129" t="s">
        <v>191</v>
      </c>
      <c r="BI129">
        <v>0</v>
      </c>
      <c r="BJ129" t="s">
        <v>370</v>
      </c>
      <c r="BK129" t="s">
        <v>577</v>
      </c>
      <c r="BL129" t="s">
        <v>573</v>
      </c>
      <c r="BM129" t="s">
        <v>574</v>
      </c>
      <c r="BN129" t="str">
        <f t="shared" ref="BN129" si="9">_xlfn.CONCAT(BL129:BM129)</f>
        <v>SHAM_SHAM+MUSIC</v>
      </c>
      <c r="BO129" t="s">
        <v>268</v>
      </c>
      <c r="BQ129">
        <v>10</v>
      </c>
      <c r="BR129">
        <v>10</v>
      </c>
      <c r="BS129" s="35">
        <v>48.288973380000002</v>
      </c>
      <c r="BT129" s="35">
        <v>7.6045627380000003</v>
      </c>
      <c r="BU129" s="35">
        <v>24.047738859999999</v>
      </c>
      <c r="BV129" s="35"/>
      <c r="BW129" s="35">
        <v>44.866920149999999</v>
      </c>
      <c r="BX129" s="35">
        <v>4.9429657789999997</v>
      </c>
      <c r="BY129" s="35">
        <v>15.631030259999999</v>
      </c>
      <c r="CB129" t="s">
        <v>268</v>
      </c>
      <c r="CD129" t="s">
        <v>267</v>
      </c>
      <c r="CE129" t="s">
        <v>191</v>
      </c>
      <c r="CF129" t="s">
        <v>309</v>
      </c>
      <c r="CG129" t="s">
        <v>268</v>
      </c>
      <c r="CI129" t="s">
        <v>268</v>
      </c>
      <c r="CK129" s="30">
        <f t="shared" si="5"/>
        <v>2</v>
      </c>
      <c r="CL129">
        <f t="shared" si="6"/>
        <v>3</v>
      </c>
    </row>
    <row r="130" spans="1:90" hidden="1" x14ac:dyDescent="0.35">
      <c r="A130" t="s">
        <v>680</v>
      </c>
      <c r="B130" t="s">
        <v>562</v>
      </c>
      <c r="C130" t="s">
        <v>563</v>
      </c>
      <c r="D130" t="s">
        <v>507</v>
      </c>
      <c r="E130" t="s">
        <v>564</v>
      </c>
      <c r="F130">
        <v>2025</v>
      </c>
      <c r="G130" t="s">
        <v>175</v>
      </c>
      <c r="I130" t="s">
        <v>333</v>
      </c>
      <c r="K130" t="s">
        <v>180</v>
      </c>
      <c r="L130" t="s">
        <v>181</v>
      </c>
      <c r="M130" t="s">
        <v>364</v>
      </c>
      <c r="N130" t="s">
        <v>193</v>
      </c>
      <c r="O130" t="s">
        <v>187</v>
      </c>
      <c r="P130" t="s">
        <v>565</v>
      </c>
      <c r="Q130" t="s">
        <v>187</v>
      </c>
      <c r="R130" t="s">
        <v>566</v>
      </c>
      <c r="S130" t="s">
        <v>204</v>
      </c>
      <c r="U130" t="s">
        <v>1117</v>
      </c>
      <c r="V130" t="s">
        <v>268</v>
      </c>
      <c r="X130" t="s">
        <v>269</v>
      </c>
      <c r="AE130" t="s">
        <v>274</v>
      </c>
      <c r="AF130" t="s">
        <v>567</v>
      </c>
      <c r="AG130" t="s">
        <v>277</v>
      </c>
      <c r="AI130" t="s">
        <v>345</v>
      </c>
      <c r="AK130">
        <v>2</v>
      </c>
      <c r="AM130">
        <v>24</v>
      </c>
      <c r="AN130" t="s">
        <v>568</v>
      </c>
      <c r="AO130" t="s">
        <v>1105</v>
      </c>
      <c r="AP130" t="s">
        <v>280</v>
      </c>
      <c r="AQ130" t="s">
        <v>285</v>
      </c>
      <c r="AR130" t="s">
        <v>511</v>
      </c>
      <c r="AS130" t="s">
        <v>190</v>
      </c>
      <c r="AT130">
        <v>70</v>
      </c>
      <c r="AU130" t="s">
        <v>191</v>
      </c>
      <c r="AV130" s="30">
        <v>1</v>
      </c>
      <c r="AW130" t="s">
        <v>287</v>
      </c>
      <c r="AX130" t="s">
        <v>191</v>
      </c>
      <c r="AZ130" t="s">
        <v>829</v>
      </c>
      <c r="BA130">
        <v>0</v>
      </c>
      <c r="BB130" t="s">
        <v>289</v>
      </c>
      <c r="BC130" t="s">
        <v>239</v>
      </c>
      <c r="BE130" t="s">
        <v>336</v>
      </c>
      <c r="BF130" t="s">
        <v>291</v>
      </c>
      <c r="BG130" t="s">
        <v>297</v>
      </c>
      <c r="BH130" t="s">
        <v>191</v>
      </c>
      <c r="BI130">
        <v>0</v>
      </c>
      <c r="BJ130" t="s">
        <v>370</v>
      </c>
      <c r="BK130" t="s">
        <v>578</v>
      </c>
      <c r="BL130" t="s">
        <v>573</v>
      </c>
      <c r="BM130" t="s">
        <v>574</v>
      </c>
      <c r="BN130" t="str">
        <f t="shared" ref="BN130" si="10">_xlfn.CONCAT(BL130:BM130)</f>
        <v>SHAM_SHAM+MUSIC</v>
      </c>
      <c r="BO130" t="s">
        <v>267</v>
      </c>
      <c r="BQ130">
        <v>10</v>
      </c>
      <c r="BR130">
        <v>10</v>
      </c>
      <c r="BS130" s="35">
        <v>63.903743319999997</v>
      </c>
      <c r="BT130" s="35">
        <v>5.8823529409999997</v>
      </c>
      <c r="BU130" s="35">
        <v>18.6016333</v>
      </c>
      <c r="BV130" s="35"/>
      <c r="BW130" s="35">
        <v>70.053475939999998</v>
      </c>
      <c r="BX130" s="35">
        <v>7.2192513370000002</v>
      </c>
      <c r="BY130" s="35">
        <v>22.829277229999999</v>
      </c>
      <c r="CB130" t="s">
        <v>268</v>
      </c>
      <c r="CD130" t="s">
        <v>267</v>
      </c>
      <c r="CE130" t="s">
        <v>191</v>
      </c>
      <c r="CF130" t="s">
        <v>309</v>
      </c>
      <c r="CG130" t="s">
        <v>268</v>
      </c>
      <c r="CI130" t="s">
        <v>267</v>
      </c>
      <c r="CJ130" t="s">
        <v>579</v>
      </c>
      <c r="CK130" s="30">
        <f t="shared" ref="CK130:CK192" si="11">(CB130="Yes")+(CD130="Yes")+(CE130="Yes")+(CI130="No")</f>
        <v>1</v>
      </c>
      <c r="CL130">
        <f t="shared" ref="CL130:CL192" si="12">CK130+AV130+BA130+BI130</f>
        <v>2</v>
      </c>
    </row>
    <row r="131" spans="1:90" x14ac:dyDescent="0.35">
      <c r="A131" t="s">
        <v>681</v>
      </c>
      <c r="B131" t="s">
        <v>562</v>
      </c>
      <c r="C131" t="s">
        <v>563</v>
      </c>
      <c r="D131" t="s">
        <v>507</v>
      </c>
      <c r="E131" t="s">
        <v>564</v>
      </c>
      <c r="F131">
        <v>2025</v>
      </c>
      <c r="G131" t="s">
        <v>175</v>
      </c>
      <c r="I131" t="s">
        <v>335</v>
      </c>
      <c r="K131" t="s">
        <v>180</v>
      </c>
      <c r="L131" t="s">
        <v>181</v>
      </c>
      <c r="M131" t="s">
        <v>364</v>
      </c>
      <c r="N131" t="s">
        <v>193</v>
      </c>
      <c r="O131" t="s">
        <v>187</v>
      </c>
      <c r="P131" t="s">
        <v>565</v>
      </c>
      <c r="Q131" t="s">
        <v>187</v>
      </c>
      <c r="R131" t="s">
        <v>566</v>
      </c>
      <c r="S131" t="s">
        <v>204</v>
      </c>
      <c r="U131" t="s">
        <v>1117</v>
      </c>
      <c r="V131" t="s">
        <v>268</v>
      </c>
      <c r="X131" t="s">
        <v>269</v>
      </c>
      <c r="AE131" t="s">
        <v>274</v>
      </c>
      <c r="AF131" t="s">
        <v>567</v>
      </c>
      <c r="AG131" t="s">
        <v>277</v>
      </c>
      <c r="AI131" t="s">
        <v>345</v>
      </c>
      <c r="AK131">
        <v>2</v>
      </c>
      <c r="AM131">
        <v>24</v>
      </c>
      <c r="AN131" t="s">
        <v>568</v>
      </c>
      <c r="AO131" t="s">
        <v>1105</v>
      </c>
      <c r="AP131" t="s">
        <v>280</v>
      </c>
      <c r="AQ131" t="s">
        <v>285</v>
      </c>
      <c r="AR131" t="s">
        <v>511</v>
      </c>
      <c r="AS131" t="s">
        <v>190</v>
      </c>
      <c r="AT131">
        <v>70</v>
      </c>
      <c r="AU131" t="s">
        <v>191</v>
      </c>
      <c r="AV131" s="30">
        <v>1</v>
      </c>
      <c r="AW131" t="s">
        <v>287</v>
      </c>
      <c r="AX131" t="s">
        <v>191</v>
      </c>
      <c r="AZ131" t="s">
        <v>829</v>
      </c>
      <c r="BA131">
        <v>0</v>
      </c>
      <c r="BB131" t="s">
        <v>279</v>
      </c>
      <c r="BC131" t="s">
        <v>250</v>
      </c>
      <c r="BE131" t="s">
        <v>450</v>
      </c>
      <c r="BF131" t="s">
        <v>291</v>
      </c>
      <c r="BG131" t="s">
        <v>297</v>
      </c>
      <c r="BH131" t="s">
        <v>191</v>
      </c>
      <c r="BI131">
        <v>0</v>
      </c>
      <c r="BJ131" t="s">
        <v>370</v>
      </c>
      <c r="BK131" t="s">
        <v>580</v>
      </c>
      <c r="BL131" t="s">
        <v>573</v>
      </c>
      <c r="BM131" t="s">
        <v>574</v>
      </c>
      <c r="BN131" t="str">
        <f t="shared" ref="BN131" si="13">_xlfn.CONCAT(BL131:BM131)</f>
        <v>SHAM_SHAM+MUSIC</v>
      </c>
      <c r="BO131" t="s">
        <v>268</v>
      </c>
      <c r="BQ131">
        <v>10</v>
      </c>
      <c r="BR131">
        <v>10</v>
      </c>
      <c r="BS131" s="35">
        <v>16.571428569999998</v>
      </c>
      <c r="BT131" s="35">
        <v>1.1428571430000001</v>
      </c>
      <c r="BU131" s="35">
        <v>3.6140316119999998</v>
      </c>
      <c r="BV131" s="35"/>
      <c r="BW131" s="35">
        <v>16.816326530000001</v>
      </c>
      <c r="BX131" s="35">
        <v>1.6326530610000001</v>
      </c>
      <c r="BY131" s="35">
        <v>5.162902302</v>
      </c>
      <c r="CB131" t="s">
        <v>268</v>
      </c>
      <c r="CD131" t="s">
        <v>267</v>
      </c>
      <c r="CE131" t="s">
        <v>191</v>
      </c>
      <c r="CF131" t="s">
        <v>309</v>
      </c>
      <c r="CG131" t="s">
        <v>268</v>
      </c>
      <c r="CI131" t="s">
        <v>268</v>
      </c>
      <c r="CK131" s="30">
        <f t="shared" si="11"/>
        <v>2</v>
      </c>
      <c r="CL131">
        <f t="shared" si="12"/>
        <v>3</v>
      </c>
    </row>
    <row r="132" spans="1:90" hidden="1" x14ac:dyDescent="0.35">
      <c r="A132" t="s">
        <v>682</v>
      </c>
      <c r="B132" t="s">
        <v>562</v>
      </c>
      <c r="C132" t="s">
        <v>563</v>
      </c>
      <c r="D132" t="s">
        <v>507</v>
      </c>
      <c r="E132" t="s">
        <v>564</v>
      </c>
      <c r="F132">
        <v>2025</v>
      </c>
      <c r="G132" t="s">
        <v>175</v>
      </c>
      <c r="I132" t="s">
        <v>491</v>
      </c>
      <c r="K132" t="s">
        <v>180</v>
      </c>
      <c r="L132" t="s">
        <v>181</v>
      </c>
      <c r="M132" t="s">
        <v>364</v>
      </c>
      <c r="N132" t="s">
        <v>193</v>
      </c>
      <c r="O132" t="s">
        <v>187</v>
      </c>
      <c r="P132" t="s">
        <v>565</v>
      </c>
      <c r="Q132" t="s">
        <v>187</v>
      </c>
      <c r="R132" t="s">
        <v>566</v>
      </c>
      <c r="S132" t="s">
        <v>204</v>
      </c>
      <c r="U132" t="s">
        <v>1117</v>
      </c>
      <c r="V132" t="s">
        <v>268</v>
      </c>
      <c r="X132" t="s">
        <v>269</v>
      </c>
      <c r="AE132" t="s">
        <v>274</v>
      </c>
      <c r="AF132" t="s">
        <v>567</v>
      </c>
      <c r="AG132" t="s">
        <v>277</v>
      </c>
      <c r="AI132" t="s">
        <v>345</v>
      </c>
      <c r="AK132">
        <v>2</v>
      </c>
      <c r="AM132">
        <v>24</v>
      </c>
      <c r="AN132" t="s">
        <v>568</v>
      </c>
      <c r="AO132" t="s">
        <v>1105</v>
      </c>
      <c r="AP132" t="s">
        <v>280</v>
      </c>
      <c r="AQ132" t="s">
        <v>285</v>
      </c>
      <c r="AR132" t="s">
        <v>511</v>
      </c>
      <c r="AS132" t="s">
        <v>190</v>
      </c>
      <c r="AT132">
        <v>70</v>
      </c>
      <c r="AU132" t="s">
        <v>191</v>
      </c>
      <c r="AV132" s="30">
        <v>1</v>
      </c>
      <c r="AW132" t="s">
        <v>287</v>
      </c>
      <c r="AX132" t="s">
        <v>191</v>
      </c>
      <c r="AZ132" t="s">
        <v>829</v>
      </c>
      <c r="BA132">
        <v>0</v>
      </c>
      <c r="BB132" t="s">
        <v>290</v>
      </c>
      <c r="BC132" t="s">
        <v>265</v>
      </c>
      <c r="BE132" t="s">
        <v>559</v>
      </c>
      <c r="BF132" t="s">
        <v>291</v>
      </c>
      <c r="BG132" t="s">
        <v>297</v>
      </c>
      <c r="BH132" t="s">
        <v>191</v>
      </c>
      <c r="BI132">
        <v>0</v>
      </c>
      <c r="BJ132" t="s">
        <v>370</v>
      </c>
      <c r="BK132" t="s">
        <v>581</v>
      </c>
      <c r="BL132" t="s">
        <v>573</v>
      </c>
      <c r="BM132" t="s">
        <v>574</v>
      </c>
      <c r="BN132" t="str">
        <f t="shared" ref="BN132:BN144" si="14">_xlfn.CONCAT(BL132:BM132)</f>
        <v>SHAM_SHAM+MUSIC</v>
      </c>
      <c r="BO132" t="s">
        <v>268</v>
      </c>
      <c r="BQ132">
        <v>10</v>
      </c>
      <c r="BR132">
        <v>10</v>
      </c>
      <c r="BS132" s="35">
        <v>60.110294119999999</v>
      </c>
      <c r="BT132" s="35">
        <v>4.1360294120000001</v>
      </c>
      <c r="BU132" s="35">
        <v>13.079273410000001</v>
      </c>
      <c r="BV132" s="35"/>
      <c r="BW132" s="35">
        <v>63.694852939999997</v>
      </c>
      <c r="BX132" s="35">
        <v>4.6875</v>
      </c>
      <c r="BY132" s="35">
        <v>14.82317653</v>
      </c>
      <c r="CB132" t="s">
        <v>268</v>
      </c>
      <c r="CD132" t="s">
        <v>267</v>
      </c>
      <c r="CE132" t="s">
        <v>191</v>
      </c>
      <c r="CF132" t="s">
        <v>309</v>
      </c>
      <c r="CG132" t="s">
        <v>268</v>
      </c>
      <c r="CI132" t="s">
        <v>268</v>
      </c>
      <c r="CK132" s="30">
        <f t="shared" si="11"/>
        <v>2</v>
      </c>
      <c r="CL132">
        <f t="shared" si="12"/>
        <v>3</v>
      </c>
    </row>
    <row r="133" spans="1:90" hidden="1" x14ac:dyDescent="0.35">
      <c r="A133" t="s">
        <v>683</v>
      </c>
      <c r="B133" t="s">
        <v>582</v>
      </c>
      <c r="C133" t="s">
        <v>300</v>
      </c>
      <c r="D133" t="s">
        <v>684</v>
      </c>
      <c r="E133" t="s">
        <v>685</v>
      </c>
      <c r="F133">
        <v>2011</v>
      </c>
      <c r="G133" t="s">
        <v>175</v>
      </c>
      <c r="I133" t="s">
        <v>176</v>
      </c>
      <c r="K133" t="s">
        <v>178</v>
      </c>
      <c r="L133" t="s">
        <v>177</v>
      </c>
      <c r="M133" t="s">
        <v>1125</v>
      </c>
      <c r="N133" t="s">
        <v>179</v>
      </c>
      <c r="O133" t="s">
        <v>190</v>
      </c>
      <c r="P133" t="s">
        <v>686</v>
      </c>
      <c r="Q133" t="s">
        <v>190</v>
      </c>
      <c r="S133" t="s">
        <v>204</v>
      </c>
      <c r="U133" t="s">
        <v>1117</v>
      </c>
      <c r="V133" t="s">
        <v>268</v>
      </c>
      <c r="X133" t="s">
        <v>269</v>
      </c>
      <c r="AE133" t="s">
        <v>273</v>
      </c>
      <c r="AG133" t="s">
        <v>277</v>
      </c>
      <c r="AI133" t="s">
        <v>345</v>
      </c>
      <c r="AK133">
        <v>24</v>
      </c>
      <c r="AM133">
        <v>1</v>
      </c>
      <c r="AN133" t="s">
        <v>687</v>
      </c>
      <c r="AO133" t="s">
        <v>1104</v>
      </c>
      <c r="AP133" t="s">
        <v>279</v>
      </c>
      <c r="AQ133" t="s">
        <v>283</v>
      </c>
      <c r="AR133" t="s">
        <v>688</v>
      </c>
      <c r="AS133" t="s">
        <v>1094</v>
      </c>
      <c r="AT133" t="s">
        <v>313</v>
      </c>
      <c r="AU133" t="s">
        <v>689</v>
      </c>
      <c r="AV133" s="30">
        <v>2</v>
      </c>
      <c r="AW133" t="s">
        <v>287</v>
      </c>
      <c r="AX133">
        <v>50</v>
      </c>
      <c r="AZ133" t="s">
        <v>829</v>
      </c>
      <c r="BA133">
        <v>2</v>
      </c>
      <c r="BB133" t="s">
        <v>289</v>
      </c>
      <c r="BC133" t="s">
        <v>239</v>
      </c>
      <c r="BE133" t="s">
        <v>336</v>
      </c>
      <c r="BF133" t="s">
        <v>292</v>
      </c>
      <c r="BG133" t="s">
        <v>298</v>
      </c>
      <c r="BH133" t="s">
        <v>281</v>
      </c>
      <c r="BI133">
        <v>2</v>
      </c>
      <c r="BJ133" t="s">
        <v>370</v>
      </c>
      <c r="BK133" t="s">
        <v>691</v>
      </c>
      <c r="BL133" t="s">
        <v>443</v>
      </c>
      <c r="BM133" t="s">
        <v>444</v>
      </c>
      <c r="BN133" t="str">
        <f t="shared" si="14"/>
        <v>SILENCE_MUSIC</v>
      </c>
      <c r="BO133" t="s">
        <v>267</v>
      </c>
      <c r="BQ133">
        <v>10</v>
      </c>
      <c r="BR133">
        <v>10</v>
      </c>
      <c r="BS133" s="35">
        <v>5.8287795989999998</v>
      </c>
      <c r="BT133" s="35">
        <v>1.684881603</v>
      </c>
      <c r="BU133" s="35">
        <v>5.3280634530000004</v>
      </c>
      <c r="BV133" s="35"/>
      <c r="BW133" s="35">
        <v>3.4153005460000001</v>
      </c>
      <c r="BX133" s="35">
        <v>1.6393442620000001</v>
      </c>
      <c r="BY133" s="35">
        <v>5.1840617379999996</v>
      </c>
      <c r="CB133" t="s">
        <v>268</v>
      </c>
      <c r="CD133" t="s">
        <v>268</v>
      </c>
      <c r="CE133" t="s">
        <v>191</v>
      </c>
      <c r="CF133" t="s">
        <v>309</v>
      </c>
      <c r="CG133" t="s">
        <v>268</v>
      </c>
      <c r="CI133" t="s">
        <v>268</v>
      </c>
      <c r="CK133" s="30">
        <f t="shared" si="11"/>
        <v>1</v>
      </c>
      <c r="CL133">
        <f t="shared" si="12"/>
        <v>7</v>
      </c>
    </row>
    <row r="134" spans="1:90" hidden="1" x14ac:dyDescent="0.35">
      <c r="A134" t="s">
        <v>700</v>
      </c>
      <c r="B134" t="s">
        <v>582</v>
      </c>
      <c r="C134" t="s">
        <v>300</v>
      </c>
      <c r="D134" t="s">
        <v>684</v>
      </c>
      <c r="E134" t="s">
        <v>685</v>
      </c>
      <c r="F134">
        <v>2011</v>
      </c>
      <c r="G134" t="s">
        <v>175</v>
      </c>
      <c r="I134" t="s">
        <v>331</v>
      </c>
      <c r="K134" t="s">
        <v>178</v>
      </c>
      <c r="L134" t="s">
        <v>177</v>
      </c>
      <c r="M134" t="s">
        <v>1125</v>
      </c>
      <c r="N134" t="s">
        <v>179</v>
      </c>
      <c r="O134" t="s">
        <v>190</v>
      </c>
      <c r="P134" t="s">
        <v>686</v>
      </c>
      <c r="Q134" t="s">
        <v>190</v>
      </c>
      <c r="S134" t="s">
        <v>204</v>
      </c>
      <c r="U134" t="s">
        <v>1117</v>
      </c>
      <c r="V134" t="s">
        <v>268</v>
      </c>
      <c r="X134" t="s">
        <v>269</v>
      </c>
      <c r="AE134" t="s">
        <v>273</v>
      </c>
      <c r="AG134" t="s">
        <v>277</v>
      </c>
      <c r="AI134" t="s">
        <v>345</v>
      </c>
      <c r="AK134">
        <v>24</v>
      </c>
      <c r="AM134">
        <v>1</v>
      </c>
      <c r="AN134" t="s">
        <v>687</v>
      </c>
      <c r="AO134" t="s">
        <v>1104</v>
      </c>
      <c r="AP134" t="s">
        <v>279</v>
      </c>
      <c r="AQ134" t="s">
        <v>283</v>
      </c>
      <c r="AR134" t="s">
        <v>688</v>
      </c>
      <c r="AS134" t="s">
        <v>1094</v>
      </c>
      <c r="AT134" t="s">
        <v>313</v>
      </c>
      <c r="AU134" t="s">
        <v>689</v>
      </c>
      <c r="AV134" s="30">
        <v>2</v>
      </c>
      <c r="AW134" t="s">
        <v>287</v>
      </c>
      <c r="AX134">
        <v>50</v>
      </c>
      <c r="AZ134" t="s">
        <v>829</v>
      </c>
      <c r="BA134">
        <v>2</v>
      </c>
      <c r="BB134" t="s">
        <v>289</v>
      </c>
      <c r="BC134" t="s">
        <v>239</v>
      </c>
      <c r="BE134" t="s">
        <v>314</v>
      </c>
      <c r="BF134" t="s">
        <v>292</v>
      </c>
      <c r="BG134" t="s">
        <v>298</v>
      </c>
      <c r="BH134" t="s">
        <v>281</v>
      </c>
      <c r="BI134">
        <v>2</v>
      </c>
      <c r="BJ134" t="s">
        <v>370</v>
      </c>
      <c r="BK134" t="s">
        <v>692</v>
      </c>
      <c r="BL134" t="s">
        <v>443</v>
      </c>
      <c r="BM134" t="s">
        <v>444</v>
      </c>
      <c r="BN134" t="str">
        <f t="shared" si="14"/>
        <v>SILENCE_MUSIC</v>
      </c>
      <c r="BO134" t="s">
        <v>267</v>
      </c>
      <c r="BQ134">
        <v>10</v>
      </c>
      <c r="BR134">
        <v>10</v>
      </c>
      <c r="BS134" s="35">
        <v>21.608695650000001</v>
      </c>
      <c r="BT134" s="35">
        <v>3.8956521739999999</v>
      </c>
      <c r="BU134" s="35">
        <v>12.319133839999999</v>
      </c>
      <c r="BV134" s="35"/>
      <c r="BW134" s="35">
        <v>7.3652173909999998</v>
      </c>
      <c r="BX134" s="35">
        <v>3.591304348</v>
      </c>
      <c r="BY134" s="35">
        <v>11.356701510000001</v>
      </c>
      <c r="CB134" t="s">
        <v>268</v>
      </c>
      <c r="CD134" t="s">
        <v>268</v>
      </c>
      <c r="CE134" t="s">
        <v>191</v>
      </c>
      <c r="CF134" t="s">
        <v>309</v>
      </c>
      <c r="CG134" t="s">
        <v>268</v>
      </c>
      <c r="CI134" t="s">
        <v>268</v>
      </c>
      <c r="CK134" s="30">
        <f t="shared" si="11"/>
        <v>1</v>
      </c>
      <c r="CL134">
        <f t="shared" si="12"/>
        <v>7</v>
      </c>
    </row>
    <row r="135" spans="1:90" hidden="1" x14ac:dyDescent="0.35">
      <c r="A135" t="s">
        <v>701</v>
      </c>
      <c r="B135" t="s">
        <v>582</v>
      </c>
      <c r="C135" t="s">
        <v>300</v>
      </c>
      <c r="D135" t="s">
        <v>684</v>
      </c>
      <c r="E135" t="s">
        <v>685</v>
      </c>
      <c r="F135">
        <v>2011</v>
      </c>
      <c r="G135" t="s">
        <v>175</v>
      </c>
      <c r="I135" t="s">
        <v>332</v>
      </c>
      <c r="K135" t="s">
        <v>178</v>
      </c>
      <c r="L135" t="s">
        <v>177</v>
      </c>
      <c r="M135" t="s">
        <v>1125</v>
      </c>
      <c r="N135" t="s">
        <v>179</v>
      </c>
      <c r="O135" t="s">
        <v>190</v>
      </c>
      <c r="P135" t="s">
        <v>686</v>
      </c>
      <c r="Q135" t="s">
        <v>190</v>
      </c>
      <c r="S135" t="s">
        <v>204</v>
      </c>
      <c r="U135" t="s">
        <v>1117</v>
      </c>
      <c r="V135" t="s">
        <v>268</v>
      </c>
      <c r="X135" t="s">
        <v>269</v>
      </c>
      <c r="AE135" t="s">
        <v>273</v>
      </c>
      <c r="AG135" t="s">
        <v>277</v>
      </c>
      <c r="AI135" t="s">
        <v>345</v>
      </c>
      <c r="AK135">
        <v>24</v>
      </c>
      <c r="AM135">
        <v>1</v>
      </c>
      <c r="AN135" t="s">
        <v>687</v>
      </c>
      <c r="AO135" t="s">
        <v>1104</v>
      </c>
      <c r="AP135" t="s">
        <v>279</v>
      </c>
      <c r="AQ135" t="s">
        <v>283</v>
      </c>
      <c r="AR135" t="s">
        <v>688</v>
      </c>
      <c r="AS135" t="s">
        <v>1094</v>
      </c>
      <c r="AT135" t="s">
        <v>313</v>
      </c>
      <c r="AU135" t="s">
        <v>689</v>
      </c>
      <c r="AV135" s="30">
        <v>2</v>
      </c>
      <c r="AW135" t="s">
        <v>287</v>
      </c>
      <c r="AX135">
        <v>50</v>
      </c>
      <c r="AZ135" t="s">
        <v>829</v>
      </c>
      <c r="BA135">
        <v>2</v>
      </c>
      <c r="BB135" t="s">
        <v>289</v>
      </c>
      <c r="BC135" t="s">
        <v>239</v>
      </c>
      <c r="BE135" t="s">
        <v>337</v>
      </c>
      <c r="BF135" t="s">
        <v>292</v>
      </c>
      <c r="BG135" t="s">
        <v>298</v>
      </c>
      <c r="BH135" t="s">
        <v>281</v>
      </c>
      <c r="BI135">
        <v>2</v>
      </c>
      <c r="BJ135" t="s">
        <v>370</v>
      </c>
      <c r="BK135" t="s">
        <v>693</v>
      </c>
      <c r="BL135" t="s">
        <v>443</v>
      </c>
      <c r="BM135" t="s">
        <v>444</v>
      </c>
      <c r="BN135" t="str">
        <f t="shared" si="14"/>
        <v>SILENCE_MUSIC</v>
      </c>
      <c r="BO135" t="s">
        <v>268</v>
      </c>
      <c r="BQ135">
        <v>10</v>
      </c>
      <c r="BR135">
        <v>10</v>
      </c>
      <c r="BS135" s="35">
        <v>74.750830559999997</v>
      </c>
      <c r="BT135" s="35">
        <v>4.1528239200000003</v>
      </c>
      <c r="BU135" s="35">
        <v>13.132382310000001</v>
      </c>
      <c r="BV135" s="35"/>
      <c r="BW135" s="35">
        <v>83.222591359999996</v>
      </c>
      <c r="BX135" s="35">
        <v>3.9867109630000002</v>
      </c>
      <c r="BY135" s="35">
        <v>12.60708702</v>
      </c>
      <c r="CB135" t="s">
        <v>268</v>
      </c>
      <c r="CD135" t="s">
        <v>268</v>
      </c>
      <c r="CE135" t="s">
        <v>191</v>
      </c>
      <c r="CF135" t="s">
        <v>309</v>
      </c>
      <c r="CG135" t="s">
        <v>268</v>
      </c>
      <c r="CI135" t="s">
        <v>268</v>
      </c>
      <c r="CK135" s="30">
        <f t="shared" si="11"/>
        <v>1</v>
      </c>
      <c r="CL135">
        <f t="shared" si="12"/>
        <v>7</v>
      </c>
    </row>
    <row r="136" spans="1:90" hidden="1" x14ac:dyDescent="0.35">
      <c r="A136" t="s">
        <v>702</v>
      </c>
      <c r="B136" t="s">
        <v>582</v>
      </c>
      <c r="C136" t="s">
        <v>300</v>
      </c>
      <c r="D136" t="s">
        <v>684</v>
      </c>
      <c r="E136" t="s">
        <v>685</v>
      </c>
      <c r="F136">
        <v>2011</v>
      </c>
      <c r="G136" t="s">
        <v>175</v>
      </c>
      <c r="I136" t="s">
        <v>333</v>
      </c>
      <c r="K136" t="s">
        <v>178</v>
      </c>
      <c r="L136" t="s">
        <v>177</v>
      </c>
      <c r="M136" t="s">
        <v>1125</v>
      </c>
      <c r="N136" t="s">
        <v>179</v>
      </c>
      <c r="O136" t="s">
        <v>190</v>
      </c>
      <c r="P136" t="s">
        <v>686</v>
      </c>
      <c r="Q136" t="s">
        <v>190</v>
      </c>
      <c r="S136" t="s">
        <v>204</v>
      </c>
      <c r="U136" t="s">
        <v>1117</v>
      </c>
      <c r="V136" t="s">
        <v>268</v>
      </c>
      <c r="X136" t="s">
        <v>269</v>
      </c>
      <c r="AE136" t="s">
        <v>273</v>
      </c>
      <c r="AG136" t="s">
        <v>277</v>
      </c>
      <c r="AI136" t="s">
        <v>345</v>
      </c>
      <c r="AK136">
        <v>24</v>
      </c>
      <c r="AM136">
        <v>1</v>
      </c>
      <c r="AN136" t="s">
        <v>687</v>
      </c>
      <c r="AO136" t="s">
        <v>1104</v>
      </c>
      <c r="AP136" t="s">
        <v>279</v>
      </c>
      <c r="AQ136" t="s">
        <v>283</v>
      </c>
      <c r="AR136" t="s">
        <v>688</v>
      </c>
      <c r="AS136" t="s">
        <v>1094</v>
      </c>
      <c r="AT136" t="s">
        <v>313</v>
      </c>
      <c r="AU136" t="s">
        <v>689</v>
      </c>
      <c r="AV136" s="30">
        <v>2</v>
      </c>
      <c r="AW136" t="s">
        <v>287</v>
      </c>
      <c r="AX136">
        <v>50</v>
      </c>
      <c r="AZ136" t="s">
        <v>829</v>
      </c>
      <c r="BA136">
        <v>2</v>
      </c>
      <c r="BB136" t="s">
        <v>289</v>
      </c>
      <c r="BC136" t="s">
        <v>239</v>
      </c>
      <c r="BE136" t="s">
        <v>321</v>
      </c>
      <c r="BF136" t="s">
        <v>292</v>
      </c>
      <c r="BG136" t="s">
        <v>298</v>
      </c>
      <c r="BH136" t="s">
        <v>281</v>
      </c>
      <c r="BI136">
        <v>2</v>
      </c>
      <c r="BJ136" t="s">
        <v>370</v>
      </c>
      <c r="BK136" t="s">
        <v>694</v>
      </c>
      <c r="BL136" t="s">
        <v>443</v>
      </c>
      <c r="BM136" t="s">
        <v>444</v>
      </c>
      <c r="BN136" t="str">
        <f t="shared" si="14"/>
        <v>SILENCE_MUSIC</v>
      </c>
      <c r="BO136" t="s">
        <v>268</v>
      </c>
      <c r="BQ136">
        <v>10</v>
      </c>
      <c r="BR136">
        <v>10</v>
      </c>
      <c r="BS136" s="35">
        <v>78.036605660000006</v>
      </c>
      <c r="BT136" s="35">
        <v>3.8269550749999999</v>
      </c>
      <c r="BU136" s="35">
        <v>12.10189454</v>
      </c>
      <c r="BV136" s="35"/>
      <c r="BW136" s="35">
        <v>83.69384359</v>
      </c>
      <c r="BX136" s="35">
        <v>2.6622296169999999</v>
      </c>
      <c r="BY136" s="35">
        <v>8.4187092450000005</v>
      </c>
      <c r="CB136" t="s">
        <v>268</v>
      </c>
      <c r="CD136" t="s">
        <v>268</v>
      </c>
      <c r="CE136" t="s">
        <v>191</v>
      </c>
      <c r="CF136" t="s">
        <v>309</v>
      </c>
      <c r="CG136" t="s">
        <v>268</v>
      </c>
      <c r="CI136" t="s">
        <v>268</v>
      </c>
      <c r="CK136" s="30">
        <f t="shared" si="11"/>
        <v>1</v>
      </c>
      <c r="CL136">
        <f t="shared" si="12"/>
        <v>7</v>
      </c>
    </row>
    <row r="137" spans="1:90" hidden="1" x14ac:dyDescent="0.35">
      <c r="A137" t="s">
        <v>703</v>
      </c>
      <c r="B137" t="s">
        <v>582</v>
      </c>
      <c r="C137" t="s">
        <v>300</v>
      </c>
      <c r="D137" t="s">
        <v>684</v>
      </c>
      <c r="E137" t="s">
        <v>685</v>
      </c>
      <c r="F137">
        <v>2011</v>
      </c>
      <c r="G137" t="s">
        <v>175</v>
      </c>
      <c r="I137" t="s">
        <v>334</v>
      </c>
      <c r="K137" t="s">
        <v>178</v>
      </c>
      <c r="L137" t="s">
        <v>177</v>
      </c>
      <c r="M137" t="s">
        <v>1125</v>
      </c>
      <c r="N137" t="s">
        <v>179</v>
      </c>
      <c r="O137" t="s">
        <v>190</v>
      </c>
      <c r="P137" t="s">
        <v>686</v>
      </c>
      <c r="Q137" t="s">
        <v>190</v>
      </c>
      <c r="S137" t="s">
        <v>204</v>
      </c>
      <c r="U137" t="s">
        <v>1117</v>
      </c>
      <c r="V137" t="s">
        <v>268</v>
      </c>
      <c r="X137" t="s">
        <v>269</v>
      </c>
      <c r="AE137" t="s">
        <v>273</v>
      </c>
      <c r="AG137" t="s">
        <v>277</v>
      </c>
      <c r="AI137" t="s">
        <v>345</v>
      </c>
      <c r="AK137">
        <v>24</v>
      </c>
      <c r="AM137">
        <v>1</v>
      </c>
      <c r="AN137" t="s">
        <v>687</v>
      </c>
      <c r="AO137" t="s">
        <v>1104</v>
      </c>
      <c r="AP137" t="s">
        <v>279</v>
      </c>
      <c r="AQ137" t="s">
        <v>283</v>
      </c>
      <c r="AR137" t="s">
        <v>688</v>
      </c>
      <c r="AS137" t="s">
        <v>1094</v>
      </c>
      <c r="AT137" t="s">
        <v>313</v>
      </c>
      <c r="AU137" t="s">
        <v>689</v>
      </c>
      <c r="AV137" s="30">
        <v>2</v>
      </c>
      <c r="AW137" t="s">
        <v>287</v>
      </c>
      <c r="AX137">
        <v>50</v>
      </c>
      <c r="AZ137" t="s">
        <v>829</v>
      </c>
      <c r="BA137">
        <v>2</v>
      </c>
      <c r="BB137" t="s">
        <v>289</v>
      </c>
      <c r="BC137" t="s">
        <v>239</v>
      </c>
      <c r="BE137" t="s">
        <v>690</v>
      </c>
      <c r="BF137" t="s">
        <v>292</v>
      </c>
      <c r="BG137" t="s">
        <v>298</v>
      </c>
      <c r="BH137" t="s">
        <v>281</v>
      </c>
      <c r="BI137">
        <v>2</v>
      </c>
      <c r="BJ137" t="s">
        <v>370</v>
      </c>
      <c r="BK137" t="s">
        <v>695</v>
      </c>
      <c r="BL137" t="s">
        <v>443</v>
      </c>
      <c r="BM137" t="s">
        <v>444</v>
      </c>
      <c r="BN137" t="str">
        <f t="shared" si="14"/>
        <v>SILENCE_MUSIC</v>
      </c>
      <c r="BO137" t="s">
        <v>267</v>
      </c>
      <c r="BQ137">
        <v>10</v>
      </c>
      <c r="BR137">
        <v>10</v>
      </c>
      <c r="BS137" s="35">
        <v>4.6203554120000003</v>
      </c>
      <c r="BT137" s="35">
        <v>1.195476575</v>
      </c>
      <c r="BU137" s="35">
        <v>3.7804288669999999</v>
      </c>
      <c r="BV137" s="35"/>
      <c r="BW137" s="35">
        <v>13.279483040000001</v>
      </c>
      <c r="BX137" s="35">
        <v>1.6801292409999999</v>
      </c>
      <c r="BY137" s="35">
        <v>5.3130351640000004</v>
      </c>
      <c r="CB137" t="s">
        <v>268</v>
      </c>
      <c r="CD137" t="s">
        <v>268</v>
      </c>
      <c r="CE137" t="s">
        <v>191</v>
      </c>
      <c r="CF137" t="s">
        <v>309</v>
      </c>
      <c r="CG137" t="s">
        <v>268</v>
      </c>
      <c r="CI137" t="s">
        <v>268</v>
      </c>
      <c r="CK137" s="30">
        <f t="shared" si="11"/>
        <v>1</v>
      </c>
      <c r="CL137">
        <f t="shared" si="12"/>
        <v>7</v>
      </c>
    </row>
    <row r="138" spans="1:90" hidden="1" x14ac:dyDescent="0.35">
      <c r="A138" t="s">
        <v>704</v>
      </c>
      <c r="B138" t="s">
        <v>582</v>
      </c>
      <c r="C138" t="s">
        <v>300</v>
      </c>
      <c r="D138" t="s">
        <v>684</v>
      </c>
      <c r="E138" t="s">
        <v>685</v>
      </c>
      <c r="F138">
        <v>2011</v>
      </c>
      <c r="G138" t="s">
        <v>175</v>
      </c>
      <c r="I138" t="s">
        <v>335</v>
      </c>
      <c r="K138" t="s">
        <v>178</v>
      </c>
      <c r="L138" t="s">
        <v>177</v>
      </c>
      <c r="M138" t="s">
        <v>1125</v>
      </c>
      <c r="N138" t="s">
        <v>179</v>
      </c>
      <c r="O138" t="s">
        <v>190</v>
      </c>
      <c r="P138" t="s">
        <v>686</v>
      </c>
      <c r="Q138" t="s">
        <v>190</v>
      </c>
      <c r="S138" t="s">
        <v>204</v>
      </c>
      <c r="U138" t="s">
        <v>1117</v>
      </c>
      <c r="V138" t="s">
        <v>268</v>
      </c>
      <c r="X138" t="s">
        <v>269</v>
      </c>
      <c r="AE138" t="s">
        <v>273</v>
      </c>
      <c r="AG138" t="s">
        <v>277</v>
      </c>
      <c r="AI138" t="s">
        <v>345</v>
      </c>
      <c r="AK138">
        <v>24</v>
      </c>
      <c r="AM138">
        <v>1</v>
      </c>
      <c r="AN138" t="s">
        <v>687</v>
      </c>
      <c r="AO138" t="s">
        <v>1104</v>
      </c>
      <c r="AP138" t="s">
        <v>279</v>
      </c>
      <c r="AQ138" t="s">
        <v>283</v>
      </c>
      <c r="AR138" t="s">
        <v>688</v>
      </c>
      <c r="AS138" t="s">
        <v>1094</v>
      </c>
      <c r="AT138" t="s">
        <v>313</v>
      </c>
      <c r="AU138" t="s">
        <v>689</v>
      </c>
      <c r="AV138" s="30">
        <v>2</v>
      </c>
      <c r="AW138" t="s">
        <v>287</v>
      </c>
      <c r="AX138">
        <v>50</v>
      </c>
      <c r="AZ138" t="s">
        <v>829</v>
      </c>
      <c r="BA138">
        <v>2</v>
      </c>
      <c r="BB138" t="s">
        <v>289</v>
      </c>
      <c r="BC138" t="s">
        <v>243</v>
      </c>
      <c r="BE138" t="s">
        <v>434</v>
      </c>
      <c r="BF138" t="s">
        <v>292</v>
      </c>
      <c r="BG138" t="s">
        <v>298</v>
      </c>
      <c r="BH138" t="s">
        <v>281</v>
      </c>
      <c r="BI138">
        <v>2</v>
      </c>
      <c r="BJ138" t="s">
        <v>315</v>
      </c>
      <c r="BK138" t="s">
        <v>696</v>
      </c>
      <c r="BL138" t="s">
        <v>443</v>
      </c>
      <c r="BM138" t="s">
        <v>444</v>
      </c>
      <c r="BN138" t="str">
        <f t="shared" si="14"/>
        <v>SILENCE_MUSIC</v>
      </c>
      <c r="BO138" t="s">
        <v>267</v>
      </c>
      <c r="BQ138">
        <v>10</v>
      </c>
      <c r="BR138">
        <v>10</v>
      </c>
      <c r="BS138" s="35">
        <v>78.911564630000001</v>
      </c>
      <c r="BT138" s="35">
        <v>2.721088435</v>
      </c>
      <c r="BU138" s="35">
        <v>8.6048371709999998</v>
      </c>
      <c r="BV138" s="35"/>
      <c r="BW138" s="35">
        <v>73.979591839999998</v>
      </c>
      <c r="BX138" s="35">
        <v>1.19047619</v>
      </c>
      <c r="BY138" s="35">
        <v>3.7646162620000001</v>
      </c>
      <c r="CB138" t="s">
        <v>268</v>
      </c>
      <c r="CD138" t="s">
        <v>268</v>
      </c>
      <c r="CE138" t="s">
        <v>191</v>
      </c>
      <c r="CF138" t="s">
        <v>309</v>
      </c>
      <c r="CG138" t="s">
        <v>268</v>
      </c>
      <c r="CI138" t="s">
        <v>268</v>
      </c>
      <c r="CK138" s="30">
        <f t="shared" si="11"/>
        <v>1</v>
      </c>
      <c r="CL138">
        <f t="shared" si="12"/>
        <v>7</v>
      </c>
    </row>
    <row r="139" spans="1:90" hidden="1" x14ac:dyDescent="0.35">
      <c r="A139" t="s">
        <v>705</v>
      </c>
      <c r="B139" t="s">
        <v>582</v>
      </c>
      <c r="C139" t="s">
        <v>300</v>
      </c>
      <c r="D139" t="s">
        <v>684</v>
      </c>
      <c r="E139" t="s">
        <v>685</v>
      </c>
      <c r="F139">
        <v>2011</v>
      </c>
      <c r="G139" t="s">
        <v>175</v>
      </c>
      <c r="I139" t="s">
        <v>491</v>
      </c>
      <c r="K139" t="s">
        <v>178</v>
      </c>
      <c r="L139" t="s">
        <v>177</v>
      </c>
      <c r="M139" t="s">
        <v>1125</v>
      </c>
      <c r="N139" t="s">
        <v>179</v>
      </c>
      <c r="O139" t="s">
        <v>190</v>
      </c>
      <c r="P139" t="s">
        <v>686</v>
      </c>
      <c r="Q139" t="s">
        <v>190</v>
      </c>
      <c r="S139" t="s">
        <v>204</v>
      </c>
      <c r="U139" t="s">
        <v>1117</v>
      </c>
      <c r="V139" t="s">
        <v>268</v>
      </c>
      <c r="X139" t="s">
        <v>269</v>
      </c>
      <c r="AE139" t="s">
        <v>273</v>
      </c>
      <c r="AG139" t="s">
        <v>277</v>
      </c>
      <c r="AI139" t="s">
        <v>345</v>
      </c>
      <c r="AK139">
        <v>24</v>
      </c>
      <c r="AM139">
        <v>1</v>
      </c>
      <c r="AN139" t="s">
        <v>687</v>
      </c>
      <c r="AO139" t="s">
        <v>1104</v>
      </c>
      <c r="AP139" t="s">
        <v>279</v>
      </c>
      <c r="AQ139" t="s">
        <v>283</v>
      </c>
      <c r="AR139" t="s">
        <v>688</v>
      </c>
      <c r="AS139" t="s">
        <v>1094</v>
      </c>
      <c r="AT139" t="s">
        <v>313</v>
      </c>
      <c r="AU139" t="s">
        <v>689</v>
      </c>
      <c r="AV139" s="30">
        <v>2</v>
      </c>
      <c r="AW139" t="s">
        <v>287</v>
      </c>
      <c r="AX139">
        <v>50</v>
      </c>
      <c r="AZ139" t="s">
        <v>829</v>
      </c>
      <c r="BA139">
        <v>2</v>
      </c>
      <c r="BB139" t="s">
        <v>289</v>
      </c>
      <c r="BC139" t="s">
        <v>243</v>
      </c>
      <c r="BE139" t="s">
        <v>559</v>
      </c>
      <c r="BF139" t="s">
        <v>292</v>
      </c>
      <c r="BG139" t="s">
        <v>298</v>
      </c>
      <c r="BH139" t="s">
        <v>281</v>
      </c>
      <c r="BI139">
        <v>2</v>
      </c>
      <c r="BJ139" t="s">
        <v>315</v>
      </c>
      <c r="BK139" t="s">
        <v>697</v>
      </c>
      <c r="BL139" t="s">
        <v>443</v>
      </c>
      <c r="BM139" t="s">
        <v>444</v>
      </c>
      <c r="BN139" t="str">
        <f t="shared" si="14"/>
        <v>SILENCE_MUSIC</v>
      </c>
      <c r="BO139" t="s">
        <v>268</v>
      </c>
      <c r="BQ139">
        <v>10</v>
      </c>
      <c r="BR139">
        <v>10</v>
      </c>
      <c r="BS139" s="35">
        <v>2.4991394150000001</v>
      </c>
      <c r="BT139" s="35">
        <v>0.90189328700000004</v>
      </c>
      <c r="BU139" s="35">
        <v>2.8520369950000002</v>
      </c>
      <c r="BV139" s="35"/>
      <c r="BW139" s="35">
        <v>1.5008605850000001</v>
      </c>
      <c r="BX139" s="35">
        <v>0.99827882999999995</v>
      </c>
      <c r="BY139" s="35">
        <v>3.1568348409999998</v>
      </c>
      <c r="CB139" t="s">
        <v>268</v>
      </c>
      <c r="CD139" t="s">
        <v>268</v>
      </c>
      <c r="CE139" t="s">
        <v>191</v>
      </c>
      <c r="CF139" t="s">
        <v>309</v>
      </c>
      <c r="CG139" t="s">
        <v>268</v>
      </c>
      <c r="CI139" t="s">
        <v>268</v>
      </c>
      <c r="CK139" s="30">
        <f t="shared" si="11"/>
        <v>1</v>
      </c>
      <c r="CL139">
        <f t="shared" si="12"/>
        <v>7</v>
      </c>
    </row>
    <row r="140" spans="1:90" hidden="1" x14ac:dyDescent="0.35">
      <c r="A140" t="s">
        <v>706</v>
      </c>
      <c r="B140" t="s">
        <v>582</v>
      </c>
      <c r="C140" t="s">
        <v>300</v>
      </c>
      <c r="D140" t="s">
        <v>684</v>
      </c>
      <c r="E140" t="s">
        <v>685</v>
      </c>
      <c r="F140">
        <v>2011</v>
      </c>
      <c r="G140" t="s">
        <v>175</v>
      </c>
      <c r="I140" t="s">
        <v>492</v>
      </c>
      <c r="K140" t="s">
        <v>178</v>
      </c>
      <c r="L140" t="s">
        <v>177</v>
      </c>
      <c r="M140" t="s">
        <v>1125</v>
      </c>
      <c r="N140" t="s">
        <v>179</v>
      </c>
      <c r="O140" t="s">
        <v>190</v>
      </c>
      <c r="P140" t="s">
        <v>686</v>
      </c>
      <c r="Q140" t="s">
        <v>190</v>
      </c>
      <c r="S140" t="s">
        <v>204</v>
      </c>
      <c r="U140" t="s">
        <v>1117</v>
      </c>
      <c r="V140" t="s">
        <v>268</v>
      </c>
      <c r="X140" t="s">
        <v>269</v>
      </c>
      <c r="AE140" t="s">
        <v>273</v>
      </c>
      <c r="AG140" t="s">
        <v>277</v>
      </c>
      <c r="AI140" t="s">
        <v>345</v>
      </c>
      <c r="AK140">
        <v>24</v>
      </c>
      <c r="AM140">
        <v>1</v>
      </c>
      <c r="AN140" t="s">
        <v>687</v>
      </c>
      <c r="AO140" t="s">
        <v>1104</v>
      </c>
      <c r="AP140" t="s">
        <v>279</v>
      </c>
      <c r="AQ140" t="s">
        <v>283</v>
      </c>
      <c r="AR140" t="s">
        <v>688</v>
      </c>
      <c r="AS140" t="s">
        <v>1094</v>
      </c>
      <c r="AT140" t="s">
        <v>313</v>
      </c>
      <c r="AU140" t="s">
        <v>689</v>
      </c>
      <c r="AV140" s="30">
        <v>2</v>
      </c>
      <c r="AW140" t="s">
        <v>287</v>
      </c>
      <c r="AX140">
        <v>50</v>
      </c>
      <c r="AZ140" t="s">
        <v>829</v>
      </c>
      <c r="BA140">
        <v>2</v>
      </c>
      <c r="BB140" t="s">
        <v>289</v>
      </c>
      <c r="BC140" t="s">
        <v>243</v>
      </c>
      <c r="BE140" t="s">
        <v>420</v>
      </c>
      <c r="BF140" t="s">
        <v>292</v>
      </c>
      <c r="BG140" t="s">
        <v>298</v>
      </c>
      <c r="BH140" t="s">
        <v>281</v>
      </c>
      <c r="BI140">
        <v>2</v>
      </c>
      <c r="BJ140" t="s">
        <v>315</v>
      </c>
      <c r="BK140" t="s">
        <v>698</v>
      </c>
      <c r="BL140" t="s">
        <v>443</v>
      </c>
      <c r="BM140" t="s">
        <v>444</v>
      </c>
      <c r="BN140" t="str">
        <f t="shared" si="14"/>
        <v>SILENCE_MUSIC</v>
      </c>
      <c r="BO140" t="s">
        <v>267</v>
      </c>
      <c r="BQ140">
        <v>10</v>
      </c>
      <c r="BR140">
        <v>10</v>
      </c>
      <c r="BS140" s="35">
        <v>17.40641711</v>
      </c>
      <c r="BT140" s="35">
        <v>2.1836007130000001</v>
      </c>
      <c r="BU140" s="35">
        <v>6.9051517530000002</v>
      </c>
      <c r="BV140" s="35"/>
      <c r="BW140" s="35">
        <v>22.02317291</v>
      </c>
      <c r="BX140" s="35">
        <v>3.1818181820000002</v>
      </c>
      <c r="BY140" s="35">
        <v>10.061792560000001</v>
      </c>
      <c r="CB140" t="s">
        <v>268</v>
      </c>
      <c r="CD140" t="s">
        <v>268</v>
      </c>
      <c r="CE140" t="s">
        <v>191</v>
      </c>
      <c r="CF140" t="s">
        <v>309</v>
      </c>
      <c r="CG140" t="s">
        <v>268</v>
      </c>
      <c r="CI140" t="s">
        <v>268</v>
      </c>
      <c r="CK140" s="30">
        <f t="shared" si="11"/>
        <v>1</v>
      </c>
      <c r="CL140">
        <f t="shared" si="12"/>
        <v>7</v>
      </c>
    </row>
    <row r="141" spans="1:90" hidden="1" x14ac:dyDescent="0.35">
      <c r="A141" t="s">
        <v>707</v>
      </c>
      <c r="B141" t="s">
        <v>582</v>
      </c>
      <c r="C141" t="s">
        <v>300</v>
      </c>
      <c r="D141" t="s">
        <v>684</v>
      </c>
      <c r="E141" t="s">
        <v>685</v>
      </c>
      <c r="F141">
        <v>2011</v>
      </c>
      <c r="G141" t="s">
        <v>175</v>
      </c>
      <c r="I141" t="s">
        <v>493</v>
      </c>
      <c r="K141" t="s">
        <v>178</v>
      </c>
      <c r="L141" t="s">
        <v>177</v>
      </c>
      <c r="M141" t="s">
        <v>1125</v>
      </c>
      <c r="N141" t="s">
        <v>179</v>
      </c>
      <c r="O141" t="s">
        <v>190</v>
      </c>
      <c r="P141" t="s">
        <v>686</v>
      </c>
      <c r="Q141" t="s">
        <v>190</v>
      </c>
      <c r="S141" t="s">
        <v>204</v>
      </c>
      <c r="U141" t="s">
        <v>1117</v>
      </c>
      <c r="V141" t="s">
        <v>268</v>
      </c>
      <c r="X141" t="s">
        <v>269</v>
      </c>
      <c r="AE141" t="s">
        <v>273</v>
      </c>
      <c r="AG141" t="s">
        <v>277</v>
      </c>
      <c r="AI141" t="s">
        <v>345</v>
      </c>
      <c r="AK141">
        <v>24</v>
      </c>
      <c r="AM141">
        <v>1</v>
      </c>
      <c r="AN141" t="s">
        <v>687</v>
      </c>
      <c r="AO141" t="s">
        <v>1104</v>
      </c>
      <c r="AP141" t="s">
        <v>279</v>
      </c>
      <c r="AQ141" t="s">
        <v>283</v>
      </c>
      <c r="AR141" t="s">
        <v>688</v>
      </c>
      <c r="AS141" t="s">
        <v>1094</v>
      </c>
      <c r="AT141" t="s">
        <v>313</v>
      </c>
      <c r="AU141" t="s">
        <v>689</v>
      </c>
      <c r="AV141" s="30">
        <v>2</v>
      </c>
      <c r="AW141" t="s">
        <v>287</v>
      </c>
      <c r="AX141">
        <v>50</v>
      </c>
      <c r="AZ141" t="s">
        <v>829</v>
      </c>
      <c r="BA141">
        <v>2</v>
      </c>
      <c r="BB141" t="s">
        <v>289</v>
      </c>
      <c r="BC141" t="s">
        <v>243</v>
      </c>
      <c r="BE141" t="s">
        <v>421</v>
      </c>
      <c r="BF141" t="s">
        <v>292</v>
      </c>
      <c r="BG141" t="s">
        <v>298</v>
      </c>
      <c r="BH141" t="s">
        <v>281</v>
      </c>
      <c r="BI141">
        <v>2</v>
      </c>
      <c r="BJ141" t="s">
        <v>315</v>
      </c>
      <c r="BK141" t="s">
        <v>699</v>
      </c>
      <c r="BL141" t="s">
        <v>443</v>
      </c>
      <c r="BM141" t="s">
        <v>444</v>
      </c>
      <c r="BN141" t="str">
        <f t="shared" si="14"/>
        <v>SILENCE_MUSIC</v>
      </c>
      <c r="BO141" t="s">
        <v>267</v>
      </c>
      <c r="BQ141">
        <v>10</v>
      </c>
      <c r="BR141">
        <v>10</v>
      </c>
      <c r="BS141" s="35">
        <v>2.0857699809999999</v>
      </c>
      <c r="BT141" s="35">
        <v>1.3060428850000001</v>
      </c>
      <c r="BU141" s="35">
        <v>4.1300702380000001</v>
      </c>
      <c r="BV141" s="35"/>
      <c r="BW141" s="35">
        <v>2.2807017539999999</v>
      </c>
      <c r="BX141" s="35">
        <v>1.013645224</v>
      </c>
      <c r="BY141" s="35">
        <v>3.2054276480000001</v>
      </c>
      <c r="CB141" t="s">
        <v>268</v>
      </c>
      <c r="CD141" t="s">
        <v>268</v>
      </c>
      <c r="CE141" t="s">
        <v>191</v>
      </c>
      <c r="CF141" t="s">
        <v>309</v>
      </c>
      <c r="CG141" t="s">
        <v>268</v>
      </c>
      <c r="CI141" t="s">
        <v>268</v>
      </c>
      <c r="CK141" s="30">
        <f t="shared" si="11"/>
        <v>1</v>
      </c>
      <c r="CL141">
        <f t="shared" si="12"/>
        <v>7</v>
      </c>
    </row>
    <row r="142" spans="1:90" hidden="1" x14ac:dyDescent="0.35">
      <c r="A142" t="s">
        <v>734</v>
      </c>
      <c r="B142" t="s">
        <v>708</v>
      </c>
      <c r="C142" t="s">
        <v>709</v>
      </c>
      <c r="D142" t="s">
        <v>710</v>
      </c>
      <c r="E142" t="s">
        <v>711</v>
      </c>
      <c r="F142">
        <v>2024</v>
      </c>
      <c r="G142" t="s">
        <v>175</v>
      </c>
      <c r="I142" t="s">
        <v>176</v>
      </c>
      <c r="K142" t="s">
        <v>178</v>
      </c>
      <c r="L142" t="s">
        <v>177</v>
      </c>
      <c r="M142" t="s">
        <v>1125</v>
      </c>
      <c r="N142" t="s">
        <v>179</v>
      </c>
      <c r="O142" t="s">
        <v>187</v>
      </c>
      <c r="P142" t="s">
        <v>576</v>
      </c>
      <c r="Q142" t="s">
        <v>187</v>
      </c>
      <c r="S142" t="s">
        <v>208</v>
      </c>
      <c r="T142" t="s">
        <v>712</v>
      </c>
      <c r="U142" t="s">
        <v>1117</v>
      </c>
      <c r="V142" t="s">
        <v>267</v>
      </c>
      <c r="W142" t="s">
        <v>317</v>
      </c>
      <c r="X142" t="s">
        <v>270</v>
      </c>
      <c r="Y142" t="s">
        <v>227</v>
      </c>
      <c r="Z142" t="s">
        <v>713</v>
      </c>
      <c r="AA142" t="s">
        <v>187</v>
      </c>
      <c r="AC142">
        <v>21</v>
      </c>
      <c r="AE142" t="s">
        <v>273</v>
      </c>
      <c r="AG142" t="s">
        <v>275</v>
      </c>
      <c r="AI142" t="s">
        <v>352</v>
      </c>
      <c r="AJ142" t="s">
        <v>714</v>
      </c>
      <c r="AK142">
        <v>12</v>
      </c>
      <c r="AM142">
        <v>21</v>
      </c>
      <c r="AO142" t="s">
        <v>1105</v>
      </c>
      <c r="AP142" t="s">
        <v>282</v>
      </c>
      <c r="AQ142" t="s">
        <v>283</v>
      </c>
      <c r="AR142" t="s">
        <v>537</v>
      </c>
      <c r="AS142" t="s">
        <v>1094</v>
      </c>
      <c r="AT142" t="s">
        <v>715</v>
      </c>
      <c r="AU142" t="s">
        <v>191</v>
      </c>
      <c r="AV142" s="30">
        <v>1</v>
      </c>
      <c r="AW142" t="s">
        <v>287</v>
      </c>
      <c r="AX142" t="s">
        <v>191</v>
      </c>
      <c r="AZ142" t="s">
        <v>829</v>
      </c>
      <c r="BA142">
        <v>0</v>
      </c>
      <c r="BB142" t="s">
        <v>290</v>
      </c>
      <c r="BC142" t="s">
        <v>257</v>
      </c>
      <c r="BE142" t="s">
        <v>526</v>
      </c>
      <c r="BF142" t="s">
        <v>292</v>
      </c>
      <c r="BG142" t="s">
        <v>298</v>
      </c>
      <c r="BH142" t="s">
        <v>279</v>
      </c>
      <c r="BI142">
        <v>2</v>
      </c>
      <c r="BJ142" t="s">
        <v>322</v>
      </c>
      <c r="BK142" t="s">
        <v>716</v>
      </c>
      <c r="BL142" t="s">
        <v>319</v>
      </c>
      <c r="BM142" t="s">
        <v>318</v>
      </c>
      <c r="BN142" t="str">
        <f t="shared" si="14"/>
        <v>CUMS_CUMS+MUSIC</v>
      </c>
      <c r="BO142" t="s">
        <v>267</v>
      </c>
      <c r="BQ142">
        <v>8</v>
      </c>
      <c r="BR142">
        <v>8</v>
      </c>
      <c r="BS142" s="35">
        <v>49.475524479999997</v>
      </c>
      <c r="BT142" s="35">
        <v>7.8127428739999996</v>
      </c>
      <c r="BU142" s="35">
        <v>22.09777386</v>
      </c>
      <c r="BV142" s="35"/>
      <c r="BW142" s="35">
        <v>90.664335660000006</v>
      </c>
      <c r="BX142" s="35">
        <v>1.4277537330000001</v>
      </c>
      <c r="BY142" s="35">
        <v>4.0382973849999999</v>
      </c>
      <c r="CB142" t="s">
        <v>268</v>
      </c>
      <c r="CD142" t="s">
        <v>268</v>
      </c>
      <c r="CE142" t="s">
        <v>267</v>
      </c>
      <c r="CF142" t="s">
        <v>309</v>
      </c>
      <c r="CG142" t="s">
        <v>268</v>
      </c>
      <c r="CI142" t="s">
        <v>268</v>
      </c>
      <c r="CK142" s="30">
        <f t="shared" si="11"/>
        <v>2</v>
      </c>
      <c r="CL142">
        <f t="shared" si="12"/>
        <v>5</v>
      </c>
    </row>
    <row r="143" spans="1:90" hidden="1" x14ac:dyDescent="0.35">
      <c r="A143" t="s">
        <v>735</v>
      </c>
      <c r="B143" t="s">
        <v>717</v>
      </c>
      <c r="C143" t="s">
        <v>718</v>
      </c>
      <c r="D143" t="s">
        <v>719</v>
      </c>
      <c r="E143" t="s">
        <v>720</v>
      </c>
      <c r="F143">
        <v>2019</v>
      </c>
      <c r="G143" t="s">
        <v>175</v>
      </c>
      <c r="I143" t="s">
        <v>176</v>
      </c>
      <c r="K143" t="s">
        <v>178</v>
      </c>
      <c r="L143" t="s">
        <v>177</v>
      </c>
      <c r="M143" t="s">
        <v>721</v>
      </c>
      <c r="N143" t="s">
        <v>179</v>
      </c>
      <c r="O143" t="s">
        <v>190</v>
      </c>
      <c r="P143" t="s">
        <v>722</v>
      </c>
      <c r="Q143" t="s">
        <v>187</v>
      </c>
      <c r="R143" t="s">
        <v>723</v>
      </c>
      <c r="S143" t="s">
        <v>204</v>
      </c>
      <c r="T143" t="s">
        <v>724</v>
      </c>
      <c r="U143" t="s">
        <v>1117</v>
      </c>
      <c r="V143" t="s">
        <v>268</v>
      </c>
      <c r="X143" t="s">
        <v>269</v>
      </c>
      <c r="AE143" t="s">
        <v>273</v>
      </c>
      <c r="AG143" t="s">
        <v>275</v>
      </c>
      <c r="AI143" t="s">
        <v>311</v>
      </c>
      <c r="AK143">
        <v>2</v>
      </c>
      <c r="AM143">
        <v>21</v>
      </c>
      <c r="AO143" t="s">
        <v>1105</v>
      </c>
      <c r="AP143" t="s">
        <v>282</v>
      </c>
      <c r="AQ143" t="s">
        <v>283</v>
      </c>
      <c r="AR143" t="s">
        <v>537</v>
      </c>
      <c r="AS143" t="s">
        <v>1094</v>
      </c>
      <c r="AT143" t="s">
        <v>313</v>
      </c>
      <c r="AU143" t="s">
        <v>191</v>
      </c>
      <c r="AV143" s="30">
        <v>1</v>
      </c>
      <c r="AW143" t="s">
        <v>287</v>
      </c>
      <c r="AX143">
        <v>55</v>
      </c>
      <c r="AZ143" t="s">
        <v>829</v>
      </c>
      <c r="BA143">
        <v>2</v>
      </c>
      <c r="BB143" t="s">
        <v>289</v>
      </c>
      <c r="BC143" t="s">
        <v>239</v>
      </c>
      <c r="BE143" t="s">
        <v>336</v>
      </c>
      <c r="BF143" t="s">
        <v>292</v>
      </c>
      <c r="BG143" t="s">
        <v>298</v>
      </c>
      <c r="BH143" t="s">
        <v>191</v>
      </c>
      <c r="BI143">
        <v>1</v>
      </c>
      <c r="BJ143" t="s">
        <v>729</v>
      </c>
      <c r="BL143" t="s">
        <v>730</v>
      </c>
      <c r="BM143" t="s">
        <v>731</v>
      </c>
      <c r="BN143" t="str">
        <f t="shared" si="14"/>
        <v>control.prior_music.prior</v>
      </c>
      <c r="BO143" t="s">
        <v>267</v>
      </c>
      <c r="BQ143">
        <v>9</v>
      </c>
      <c r="BR143">
        <v>9</v>
      </c>
      <c r="BS143" s="35">
        <v>4.9400000000000004</v>
      </c>
      <c r="BT143" s="35">
        <v>0.31</v>
      </c>
      <c r="BU143" s="35"/>
      <c r="BV143" s="35"/>
      <c r="BW143" s="35">
        <v>5.08</v>
      </c>
      <c r="BX143" s="35">
        <v>0.61</v>
      </c>
      <c r="BY143" s="35"/>
      <c r="CB143" t="s">
        <v>268</v>
      </c>
      <c r="CD143" t="s">
        <v>267</v>
      </c>
      <c r="CE143" t="s">
        <v>267</v>
      </c>
      <c r="CF143" t="s">
        <v>309</v>
      </c>
      <c r="CG143" t="s">
        <v>268</v>
      </c>
      <c r="CI143" t="s">
        <v>268</v>
      </c>
      <c r="CK143" s="30">
        <f t="shared" si="11"/>
        <v>3</v>
      </c>
      <c r="CL143">
        <f t="shared" si="12"/>
        <v>7</v>
      </c>
    </row>
    <row r="144" spans="1:90" hidden="1" x14ac:dyDescent="0.35">
      <c r="A144" t="s">
        <v>736</v>
      </c>
      <c r="B144" t="s">
        <v>717</v>
      </c>
      <c r="C144" t="s">
        <v>718</v>
      </c>
      <c r="D144" t="s">
        <v>719</v>
      </c>
      <c r="E144" t="s">
        <v>720</v>
      </c>
      <c r="F144">
        <v>2019</v>
      </c>
      <c r="G144" t="s">
        <v>175</v>
      </c>
      <c r="I144" t="s">
        <v>331</v>
      </c>
      <c r="K144" t="s">
        <v>178</v>
      </c>
      <c r="L144" t="s">
        <v>177</v>
      </c>
      <c r="M144" t="s">
        <v>721</v>
      </c>
      <c r="N144" t="s">
        <v>179</v>
      </c>
      <c r="O144" t="s">
        <v>190</v>
      </c>
      <c r="P144" t="s">
        <v>722</v>
      </c>
      <c r="Q144" t="s">
        <v>187</v>
      </c>
      <c r="R144" t="s">
        <v>723</v>
      </c>
      <c r="S144" t="s">
        <v>204</v>
      </c>
      <c r="T144" t="s">
        <v>724</v>
      </c>
      <c r="U144" t="s">
        <v>1117</v>
      </c>
      <c r="V144" t="s">
        <v>267</v>
      </c>
      <c r="X144" t="s">
        <v>270</v>
      </c>
      <c r="Y144" t="s">
        <v>726</v>
      </c>
      <c r="Z144" t="s">
        <v>725</v>
      </c>
      <c r="AA144" t="s">
        <v>187</v>
      </c>
      <c r="AC144">
        <v>0.01</v>
      </c>
      <c r="AD144" t="s">
        <v>727</v>
      </c>
      <c r="AE144" t="s">
        <v>273</v>
      </c>
      <c r="AG144" t="s">
        <v>275</v>
      </c>
      <c r="AI144" t="s">
        <v>348</v>
      </c>
      <c r="AJ144" t="s">
        <v>728</v>
      </c>
      <c r="AK144">
        <v>2</v>
      </c>
      <c r="AM144">
        <v>21</v>
      </c>
      <c r="AO144" t="s">
        <v>1105</v>
      </c>
      <c r="AP144" t="s">
        <v>282</v>
      </c>
      <c r="AQ144" t="s">
        <v>283</v>
      </c>
      <c r="AR144" t="s">
        <v>537</v>
      </c>
      <c r="AS144" t="s">
        <v>1094</v>
      </c>
      <c r="AT144" t="s">
        <v>313</v>
      </c>
      <c r="AU144" t="s">
        <v>191</v>
      </c>
      <c r="AV144" s="30">
        <v>1</v>
      </c>
      <c r="AW144" t="s">
        <v>287</v>
      </c>
      <c r="AX144">
        <v>55</v>
      </c>
      <c r="AZ144" t="s">
        <v>829</v>
      </c>
      <c r="BA144">
        <v>2</v>
      </c>
      <c r="BB144" t="s">
        <v>289</v>
      </c>
      <c r="BC144" t="s">
        <v>239</v>
      </c>
      <c r="BE144" t="s">
        <v>336</v>
      </c>
      <c r="BF144" t="s">
        <v>292</v>
      </c>
      <c r="BG144" t="s">
        <v>298</v>
      </c>
      <c r="BH144" t="s">
        <v>191</v>
      </c>
      <c r="BI144">
        <v>1</v>
      </c>
      <c r="BJ144" t="s">
        <v>729</v>
      </c>
      <c r="BL144" t="s">
        <v>733</v>
      </c>
      <c r="BM144" t="s">
        <v>732</v>
      </c>
      <c r="BN144" t="str">
        <f t="shared" si="14"/>
        <v>contro.after_music.after</v>
      </c>
      <c r="BO144" t="s">
        <v>267</v>
      </c>
      <c r="BQ144">
        <v>9</v>
      </c>
      <c r="BR144">
        <v>9</v>
      </c>
      <c r="BS144" s="35">
        <v>4.29</v>
      </c>
      <c r="BT144" s="35">
        <v>1.57</v>
      </c>
      <c r="BU144" s="35"/>
      <c r="BV144" s="35"/>
      <c r="BW144" s="35">
        <v>7.79</v>
      </c>
      <c r="BX144" s="35">
        <v>2.34</v>
      </c>
      <c r="BY144" s="35"/>
      <c r="CB144" t="s">
        <v>268</v>
      </c>
      <c r="CD144" t="s">
        <v>267</v>
      </c>
      <c r="CE144" t="s">
        <v>267</v>
      </c>
      <c r="CF144" t="s">
        <v>309</v>
      </c>
      <c r="CG144" t="s">
        <v>268</v>
      </c>
      <c r="CI144" t="s">
        <v>268</v>
      </c>
      <c r="CK144" s="30">
        <f t="shared" si="11"/>
        <v>3</v>
      </c>
      <c r="CL144">
        <f t="shared" si="12"/>
        <v>7</v>
      </c>
    </row>
    <row r="145" spans="1:90" hidden="1" x14ac:dyDescent="0.35">
      <c r="A145" t="s">
        <v>737</v>
      </c>
      <c r="B145" t="s">
        <v>717</v>
      </c>
      <c r="C145" t="s">
        <v>718</v>
      </c>
      <c r="D145" t="s">
        <v>719</v>
      </c>
      <c r="E145" t="s">
        <v>720</v>
      </c>
      <c r="F145">
        <v>2019</v>
      </c>
      <c r="G145" t="s">
        <v>344</v>
      </c>
      <c r="I145" t="s">
        <v>176</v>
      </c>
      <c r="K145" t="s">
        <v>178</v>
      </c>
      <c r="L145" t="s">
        <v>177</v>
      </c>
      <c r="M145" t="s">
        <v>721</v>
      </c>
      <c r="N145" t="s">
        <v>193</v>
      </c>
      <c r="O145" t="s">
        <v>190</v>
      </c>
      <c r="P145" t="s">
        <v>722</v>
      </c>
      <c r="Q145" t="s">
        <v>187</v>
      </c>
      <c r="R145" t="s">
        <v>723</v>
      </c>
      <c r="S145" t="s">
        <v>204</v>
      </c>
      <c r="T145" t="s">
        <v>724</v>
      </c>
      <c r="U145" t="s">
        <v>1117</v>
      </c>
      <c r="V145" t="s">
        <v>268</v>
      </c>
      <c r="X145" t="s">
        <v>269</v>
      </c>
      <c r="AE145" t="s">
        <v>273</v>
      </c>
      <c r="AG145" t="s">
        <v>275</v>
      </c>
      <c r="AI145" t="s">
        <v>311</v>
      </c>
      <c r="AK145">
        <v>2</v>
      </c>
      <c r="AM145">
        <v>21</v>
      </c>
      <c r="AO145" t="s">
        <v>1105</v>
      </c>
      <c r="AP145" t="s">
        <v>282</v>
      </c>
      <c r="AQ145" t="s">
        <v>283</v>
      </c>
      <c r="AR145" t="s">
        <v>537</v>
      </c>
      <c r="AS145" t="s">
        <v>1094</v>
      </c>
      <c r="AT145" t="s">
        <v>313</v>
      </c>
      <c r="AU145" t="s">
        <v>191</v>
      </c>
      <c r="AV145" s="30">
        <v>1</v>
      </c>
      <c r="AW145" t="s">
        <v>287</v>
      </c>
      <c r="AX145">
        <v>55</v>
      </c>
      <c r="AZ145" t="s">
        <v>829</v>
      </c>
      <c r="BA145">
        <v>2</v>
      </c>
      <c r="BB145" t="s">
        <v>289</v>
      </c>
      <c r="BC145" t="s">
        <v>239</v>
      </c>
      <c r="BE145" t="s">
        <v>336</v>
      </c>
      <c r="BF145" t="s">
        <v>292</v>
      </c>
      <c r="BG145" t="s">
        <v>298</v>
      </c>
      <c r="BH145" t="s">
        <v>191</v>
      </c>
      <c r="BI145">
        <v>1</v>
      </c>
      <c r="BJ145" t="s">
        <v>729</v>
      </c>
      <c r="BL145" t="s">
        <v>730</v>
      </c>
      <c r="BM145" t="s">
        <v>731</v>
      </c>
      <c r="BN145" t="str">
        <f t="shared" ref="BN145:BN146" si="15">_xlfn.CONCAT(BL145:BM145)</f>
        <v>control.prior_music.prior</v>
      </c>
      <c r="BO145" t="s">
        <v>267</v>
      </c>
      <c r="BQ145">
        <v>6</v>
      </c>
      <c r="BR145">
        <v>6</v>
      </c>
      <c r="BS145" s="35">
        <v>4.66</v>
      </c>
      <c r="BT145" s="35">
        <v>0.42</v>
      </c>
      <c r="BU145" s="35"/>
      <c r="BV145" s="35"/>
      <c r="BW145" s="35">
        <v>7.26</v>
      </c>
      <c r="BX145" s="35">
        <v>1.51</v>
      </c>
      <c r="BY145" s="35"/>
      <c r="CB145" t="s">
        <v>268</v>
      </c>
      <c r="CD145" t="s">
        <v>267</v>
      </c>
      <c r="CE145" t="s">
        <v>267</v>
      </c>
      <c r="CF145" t="s">
        <v>309</v>
      </c>
      <c r="CG145" t="s">
        <v>268</v>
      </c>
      <c r="CI145" t="s">
        <v>268</v>
      </c>
      <c r="CK145" s="30">
        <f t="shared" si="11"/>
        <v>3</v>
      </c>
      <c r="CL145">
        <f t="shared" si="12"/>
        <v>7</v>
      </c>
    </row>
    <row r="146" spans="1:90" hidden="1" x14ac:dyDescent="0.35">
      <c r="A146" t="s">
        <v>738</v>
      </c>
      <c r="B146" t="s">
        <v>717</v>
      </c>
      <c r="C146" t="s">
        <v>718</v>
      </c>
      <c r="D146" t="s">
        <v>719</v>
      </c>
      <c r="E146" t="s">
        <v>720</v>
      </c>
      <c r="F146">
        <v>2019</v>
      </c>
      <c r="G146" t="s">
        <v>344</v>
      </c>
      <c r="I146" t="s">
        <v>331</v>
      </c>
      <c r="K146" t="s">
        <v>178</v>
      </c>
      <c r="L146" t="s">
        <v>177</v>
      </c>
      <c r="M146" t="s">
        <v>721</v>
      </c>
      <c r="N146" t="s">
        <v>193</v>
      </c>
      <c r="O146" t="s">
        <v>190</v>
      </c>
      <c r="P146" t="s">
        <v>722</v>
      </c>
      <c r="Q146" t="s">
        <v>187</v>
      </c>
      <c r="R146" t="s">
        <v>723</v>
      </c>
      <c r="S146" t="s">
        <v>204</v>
      </c>
      <c r="T146" t="s">
        <v>724</v>
      </c>
      <c r="U146" t="s">
        <v>1117</v>
      </c>
      <c r="V146" t="s">
        <v>267</v>
      </c>
      <c r="X146" t="s">
        <v>270</v>
      </c>
      <c r="Y146" t="s">
        <v>726</v>
      </c>
      <c r="Z146" t="s">
        <v>725</v>
      </c>
      <c r="AA146" t="s">
        <v>187</v>
      </c>
      <c r="AC146">
        <v>0.01</v>
      </c>
      <c r="AD146" t="s">
        <v>727</v>
      </c>
      <c r="AE146" t="s">
        <v>273</v>
      </c>
      <c r="AG146" t="s">
        <v>275</v>
      </c>
      <c r="AI146" t="s">
        <v>348</v>
      </c>
      <c r="AJ146" t="s">
        <v>728</v>
      </c>
      <c r="AK146">
        <v>2</v>
      </c>
      <c r="AM146">
        <v>21</v>
      </c>
      <c r="AO146" t="s">
        <v>1105</v>
      </c>
      <c r="AP146" t="s">
        <v>282</v>
      </c>
      <c r="AQ146" t="s">
        <v>283</v>
      </c>
      <c r="AR146" t="s">
        <v>537</v>
      </c>
      <c r="AS146" t="s">
        <v>1094</v>
      </c>
      <c r="AT146" t="s">
        <v>313</v>
      </c>
      <c r="AU146" t="s">
        <v>191</v>
      </c>
      <c r="AV146" s="30">
        <v>1</v>
      </c>
      <c r="AW146" t="s">
        <v>287</v>
      </c>
      <c r="AX146">
        <v>55</v>
      </c>
      <c r="AZ146" t="s">
        <v>829</v>
      </c>
      <c r="BA146">
        <v>2</v>
      </c>
      <c r="BB146" t="s">
        <v>289</v>
      </c>
      <c r="BC146" t="s">
        <v>239</v>
      </c>
      <c r="BE146" t="s">
        <v>336</v>
      </c>
      <c r="BF146" t="s">
        <v>292</v>
      </c>
      <c r="BG146" t="s">
        <v>298</v>
      </c>
      <c r="BH146" t="s">
        <v>191</v>
      </c>
      <c r="BI146">
        <v>1</v>
      </c>
      <c r="BJ146" t="s">
        <v>729</v>
      </c>
      <c r="BL146" t="s">
        <v>733</v>
      </c>
      <c r="BM146" t="s">
        <v>732</v>
      </c>
      <c r="BN146" t="str">
        <f t="shared" si="15"/>
        <v>contro.after_music.after</v>
      </c>
      <c r="BO146" t="s">
        <v>267</v>
      </c>
      <c r="BQ146">
        <v>6</v>
      </c>
      <c r="BR146">
        <v>6</v>
      </c>
      <c r="BS146" s="35">
        <v>1.51</v>
      </c>
      <c r="BT146" s="35">
        <v>0.12</v>
      </c>
      <c r="BU146" s="35"/>
      <c r="BV146" s="35"/>
      <c r="BW146" s="35">
        <v>8.7799999999999994</v>
      </c>
      <c r="BX146" s="35">
        <v>3.35</v>
      </c>
      <c r="BY146" s="35"/>
      <c r="CB146" t="s">
        <v>268</v>
      </c>
      <c r="CD146" t="s">
        <v>267</v>
      </c>
      <c r="CE146" t="s">
        <v>267</v>
      </c>
      <c r="CF146" t="s">
        <v>309</v>
      </c>
      <c r="CG146" t="s">
        <v>268</v>
      </c>
      <c r="CI146" t="s">
        <v>268</v>
      </c>
      <c r="CK146" s="30">
        <f t="shared" si="11"/>
        <v>3</v>
      </c>
      <c r="CL146">
        <f t="shared" si="12"/>
        <v>7</v>
      </c>
    </row>
    <row r="147" spans="1:90" hidden="1" x14ac:dyDescent="0.35">
      <c r="A147" t="s">
        <v>739</v>
      </c>
      <c r="B147" t="s">
        <v>717</v>
      </c>
      <c r="C147" t="s">
        <v>718</v>
      </c>
      <c r="D147" t="s">
        <v>719</v>
      </c>
      <c r="E147" t="s">
        <v>720</v>
      </c>
      <c r="F147">
        <v>2019</v>
      </c>
      <c r="G147" t="s">
        <v>175</v>
      </c>
      <c r="I147" t="s">
        <v>332</v>
      </c>
      <c r="K147" t="s">
        <v>178</v>
      </c>
      <c r="L147" t="s">
        <v>177</v>
      </c>
      <c r="M147" t="s">
        <v>721</v>
      </c>
      <c r="N147" t="s">
        <v>179</v>
      </c>
      <c r="O147" t="s">
        <v>190</v>
      </c>
      <c r="P147" t="s">
        <v>722</v>
      </c>
      <c r="Q147" t="s">
        <v>187</v>
      </c>
      <c r="R147" t="s">
        <v>723</v>
      </c>
      <c r="S147" t="s">
        <v>204</v>
      </c>
      <c r="T147" t="s">
        <v>724</v>
      </c>
      <c r="U147" t="s">
        <v>1117</v>
      </c>
      <c r="V147" t="s">
        <v>268</v>
      </c>
      <c r="X147" t="s">
        <v>269</v>
      </c>
      <c r="AE147" t="s">
        <v>273</v>
      </c>
      <c r="AG147" t="s">
        <v>275</v>
      </c>
      <c r="AI147" t="s">
        <v>311</v>
      </c>
      <c r="AK147">
        <v>2</v>
      </c>
      <c r="AM147">
        <v>21</v>
      </c>
      <c r="AO147" t="s">
        <v>1105</v>
      </c>
      <c r="AP147" t="s">
        <v>282</v>
      </c>
      <c r="AQ147" t="s">
        <v>283</v>
      </c>
      <c r="AR147" t="s">
        <v>537</v>
      </c>
      <c r="AS147" t="s">
        <v>1094</v>
      </c>
      <c r="AT147" t="s">
        <v>313</v>
      </c>
      <c r="AU147" t="s">
        <v>191</v>
      </c>
      <c r="AV147" s="30">
        <v>1</v>
      </c>
      <c r="AW147" t="s">
        <v>287</v>
      </c>
      <c r="AX147">
        <v>55</v>
      </c>
      <c r="AZ147" t="s">
        <v>829</v>
      </c>
      <c r="BA147">
        <v>2</v>
      </c>
      <c r="BB147" t="s">
        <v>289</v>
      </c>
      <c r="BC147" t="s">
        <v>239</v>
      </c>
      <c r="BE147" t="s">
        <v>314</v>
      </c>
      <c r="BF147" t="s">
        <v>292</v>
      </c>
      <c r="BG147" t="s">
        <v>298</v>
      </c>
      <c r="BH147" t="s">
        <v>191</v>
      </c>
      <c r="BI147">
        <v>1</v>
      </c>
      <c r="BJ147" t="s">
        <v>729</v>
      </c>
      <c r="BL147" t="s">
        <v>730</v>
      </c>
      <c r="BM147" t="s">
        <v>731</v>
      </c>
      <c r="BN147" t="str">
        <f t="shared" ref="BN147:BN150" si="16">_xlfn.CONCAT(BL147:BM147)</f>
        <v>control.prior_music.prior</v>
      </c>
      <c r="BO147" t="s">
        <v>267</v>
      </c>
      <c r="BQ147">
        <v>9</v>
      </c>
      <c r="BR147">
        <v>9</v>
      </c>
      <c r="BS147" s="35">
        <v>18.510000000000002</v>
      </c>
      <c r="BT147" s="35">
        <v>5.65</v>
      </c>
      <c r="BU147" s="35"/>
      <c r="BV147" s="35"/>
      <c r="BW147" s="35">
        <v>15.66</v>
      </c>
      <c r="BX147" s="35">
        <v>3.44</v>
      </c>
      <c r="BY147" s="35"/>
      <c r="CB147" t="s">
        <v>268</v>
      </c>
      <c r="CD147" t="s">
        <v>267</v>
      </c>
      <c r="CE147" t="s">
        <v>267</v>
      </c>
      <c r="CF147" t="s">
        <v>309</v>
      </c>
      <c r="CG147" t="s">
        <v>268</v>
      </c>
      <c r="CI147" t="s">
        <v>268</v>
      </c>
      <c r="CK147" s="30">
        <f t="shared" si="11"/>
        <v>3</v>
      </c>
      <c r="CL147">
        <f t="shared" si="12"/>
        <v>7</v>
      </c>
    </row>
    <row r="148" spans="1:90" hidden="1" x14ac:dyDescent="0.35">
      <c r="A148" t="s">
        <v>740</v>
      </c>
      <c r="B148" t="s">
        <v>717</v>
      </c>
      <c r="C148" t="s">
        <v>718</v>
      </c>
      <c r="D148" t="s">
        <v>719</v>
      </c>
      <c r="E148" t="s">
        <v>720</v>
      </c>
      <c r="F148">
        <v>2019</v>
      </c>
      <c r="G148" t="s">
        <v>175</v>
      </c>
      <c r="I148" t="s">
        <v>333</v>
      </c>
      <c r="K148" t="s">
        <v>178</v>
      </c>
      <c r="L148" t="s">
        <v>177</v>
      </c>
      <c r="M148" t="s">
        <v>721</v>
      </c>
      <c r="N148" t="s">
        <v>179</v>
      </c>
      <c r="O148" t="s">
        <v>190</v>
      </c>
      <c r="P148" t="s">
        <v>722</v>
      </c>
      <c r="Q148" t="s">
        <v>187</v>
      </c>
      <c r="R148" t="s">
        <v>723</v>
      </c>
      <c r="S148" t="s">
        <v>204</v>
      </c>
      <c r="T148" t="s">
        <v>724</v>
      </c>
      <c r="U148" t="s">
        <v>1117</v>
      </c>
      <c r="V148" t="s">
        <v>267</v>
      </c>
      <c r="X148" t="s">
        <v>270</v>
      </c>
      <c r="Y148" t="s">
        <v>726</v>
      </c>
      <c r="Z148" t="s">
        <v>725</v>
      </c>
      <c r="AA148" t="s">
        <v>187</v>
      </c>
      <c r="AC148">
        <v>0.01</v>
      </c>
      <c r="AD148" t="s">
        <v>727</v>
      </c>
      <c r="AE148" t="s">
        <v>273</v>
      </c>
      <c r="AG148" t="s">
        <v>275</v>
      </c>
      <c r="AI148" t="s">
        <v>348</v>
      </c>
      <c r="AJ148" t="s">
        <v>728</v>
      </c>
      <c r="AK148">
        <v>2</v>
      </c>
      <c r="AM148">
        <v>21</v>
      </c>
      <c r="AO148" t="s">
        <v>1105</v>
      </c>
      <c r="AP148" t="s">
        <v>282</v>
      </c>
      <c r="AQ148" t="s">
        <v>283</v>
      </c>
      <c r="AR148" t="s">
        <v>537</v>
      </c>
      <c r="AS148" t="s">
        <v>1094</v>
      </c>
      <c r="AT148" t="s">
        <v>313</v>
      </c>
      <c r="AU148" t="s">
        <v>191</v>
      </c>
      <c r="AV148" s="30">
        <v>1</v>
      </c>
      <c r="AW148" t="s">
        <v>287</v>
      </c>
      <c r="AX148">
        <v>55</v>
      </c>
      <c r="AZ148" t="s">
        <v>829</v>
      </c>
      <c r="BA148">
        <v>2</v>
      </c>
      <c r="BB148" t="s">
        <v>289</v>
      </c>
      <c r="BC148" t="s">
        <v>239</v>
      </c>
      <c r="BE148" t="s">
        <v>314</v>
      </c>
      <c r="BF148" t="s">
        <v>292</v>
      </c>
      <c r="BG148" t="s">
        <v>298</v>
      </c>
      <c r="BH148" t="s">
        <v>191</v>
      </c>
      <c r="BI148">
        <v>1</v>
      </c>
      <c r="BJ148" t="s">
        <v>729</v>
      </c>
      <c r="BL148" t="s">
        <v>733</v>
      </c>
      <c r="BM148" t="s">
        <v>732</v>
      </c>
      <c r="BN148" t="str">
        <f t="shared" si="16"/>
        <v>contro.after_music.after</v>
      </c>
      <c r="BO148" t="s">
        <v>267</v>
      </c>
      <c r="BQ148">
        <v>9</v>
      </c>
      <c r="BR148">
        <v>9</v>
      </c>
      <c r="BS148" s="35">
        <v>15.42</v>
      </c>
      <c r="BT148" s="35">
        <v>4.76</v>
      </c>
      <c r="BU148" s="35"/>
      <c r="BV148" s="35"/>
      <c r="BW148" s="35">
        <v>21.33</v>
      </c>
      <c r="BX148" s="35">
        <v>6.31</v>
      </c>
      <c r="BY148" s="35"/>
      <c r="CB148" t="s">
        <v>268</v>
      </c>
      <c r="CD148" t="s">
        <v>267</v>
      </c>
      <c r="CE148" t="s">
        <v>267</v>
      </c>
      <c r="CF148" t="s">
        <v>309</v>
      </c>
      <c r="CG148" t="s">
        <v>268</v>
      </c>
      <c r="CI148" t="s">
        <v>268</v>
      </c>
      <c r="CK148" s="30">
        <f t="shared" si="11"/>
        <v>3</v>
      </c>
      <c r="CL148">
        <f t="shared" si="12"/>
        <v>7</v>
      </c>
    </row>
    <row r="149" spans="1:90" hidden="1" x14ac:dyDescent="0.35">
      <c r="A149" t="s">
        <v>741</v>
      </c>
      <c r="B149" t="s">
        <v>717</v>
      </c>
      <c r="C149" t="s">
        <v>718</v>
      </c>
      <c r="D149" t="s">
        <v>719</v>
      </c>
      <c r="E149" t="s">
        <v>720</v>
      </c>
      <c r="F149">
        <v>2019</v>
      </c>
      <c r="G149" t="s">
        <v>344</v>
      </c>
      <c r="I149" t="s">
        <v>332</v>
      </c>
      <c r="K149" t="s">
        <v>178</v>
      </c>
      <c r="L149" t="s">
        <v>177</v>
      </c>
      <c r="M149" t="s">
        <v>721</v>
      </c>
      <c r="N149" t="s">
        <v>193</v>
      </c>
      <c r="O149" t="s">
        <v>190</v>
      </c>
      <c r="P149" t="s">
        <v>722</v>
      </c>
      <c r="Q149" t="s">
        <v>187</v>
      </c>
      <c r="R149" t="s">
        <v>723</v>
      </c>
      <c r="S149" t="s">
        <v>204</v>
      </c>
      <c r="T149" t="s">
        <v>724</v>
      </c>
      <c r="U149" t="s">
        <v>1117</v>
      </c>
      <c r="V149" t="s">
        <v>268</v>
      </c>
      <c r="X149" t="s">
        <v>269</v>
      </c>
      <c r="AE149" t="s">
        <v>273</v>
      </c>
      <c r="AG149" t="s">
        <v>275</v>
      </c>
      <c r="AI149" t="s">
        <v>311</v>
      </c>
      <c r="AK149">
        <v>2</v>
      </c>
      <c r="AM149">
        <v>21</v>
      </c>
      <c r="AO149" t="s">
        <v>1105</v>
      </c>
      <c r="AP149" t="s">
        <v>282</v>
      </c>
      <c r="AQ149" t="s">
        <v>283</v>
      </c>
      <c r="AR149" t="s">
        <v>537</v>
      </c>
      <c r="AS149" t="s">
        <v>1094</v>
      </c>
      <c r="AT149" t="s">
        <v>313</v>
      </c>
      <c r="AU149" t="s">
        <v>191</v>
      </c>
      <c r="AV149" s="30">
        <v>1</v>
      </c>
      <c r="AW149" t="s">
        <v>287</v>
      </c>
      <c r="AX149">
        <v>55</v>
      </c>
      <c r="AZ149" t="s">
        <v>829</v>
      </c>
      <c r="BA149">
        <v>2</v>
      </c>
      <c r="BB149" t="s">
        <v>289</v>
      </c>
      <c r="BC149" t="s">
        <v>239</v>
      </c>
      <c r="BE149" t="s">
        <v>314</v>
      </c>
      <c r="BF149" t="s">
        <v>292</v>
      </c>
      <c r="BG149" t="s">
        <v>298</v>
      </c>
      <c r="BH149" t="s">
        <v>191</v>
      </c>
      <c r="BI149">
        <v>1</v>
      </c>
      <c r="BJ149" t="s">
        <v>729</v>
      </c>
      <c r="BL149" t="s">
        <v>730</v>
      </c>
      <c r="BM149" t="s">
        <v>731</v>
      </c>
      <c r="BN149" t="str">
        <f t="shared" si="16"/>
        <v>control.prior_music.prior</v>
      </c>
      <c r="BO149" t="s">
        <v>267</v>
      </c>
      <c r="BQ149">
        <v>6</v>
      </c>
      <c r="BR149">
        <v>6</v>
      </c>
      <c r="BS149" s="35">
        <v>15.13</v>
      </c>
      <c r="BT149" s="35">
        <v>2.64</v>
      </c>
      <c r="BU149" s="35"/>
      <c r="BV149" s="35"/>
      <c r="BW149" s="35">
        <v>17.91</v>
      </c>
      <c r="BX149" s="35">
        <v>4.34</v>
      </c>
      <c r="BY149" s="35"/>
      <c r="CB149" t="s">
        <v>268</v>
      </c>
      <c r="CD149" t="s">
        <v>267</v>
      </c>
      <c r="CE149" t="s">
        <v>267</v>
      </c>
      <c r="CF149" t="s">
        <v>309</v>
      </c>
      <c r="CG149" t="s">
        <v>268</v>
      </c>
      <c r="CI149" t="s">
        <v>268</v>
      </c>
      <c r="CK149" s="30">
        <f t="shared" si="11"/>
        <v>3</v>
      </c>
      <c r="CL149">
        <f t="shared" si="12"/>
        <v>7</v>
      </c>
    </row>
    <row r="150" spans="1:90" hidden="1" x14ac:dyDescent="0.35">
      <c r="A150" t="s">
        <v>742</v>
      </c>
      <c r="B150" t="s">
        <v>717</v>
      </c>
      <c r="C150" t="s">
        <v>718</v>
      </c>
      <c r="D150" t="s">
        <v>719</v>
      </c>
      <c r="E150" t="s">
        <v>720</v>
      </c>
      <c r="F150">
        <v>2019</v>
      </c>
      <c r="G150" t="s">
        <v>344</v>
      </c>
      <c r="I150" t="s">
        <v>333</v>
      </c>
      <c r="K150" t="s">
        <v>178</v>
      </c>
      <c r="L150" t="s">
        <v>177</v>
      </c>
      <c r="M150" t="s">
        <v>721</v>
      </c>
      <c r="N150" t="s">
        <v>193</v>
      </c>
      <c r="O150" t="s">
        <v>190</v>
      </c>
      <c r="P150" t="s">
        <v>722</v>
      </c>
      <c r="Q150" t="s">
        <v>187</v>
      </c>
      <c r="R150" t="s">
        <v>723</v>
      </c>
      <c r="S150" t="s">
        <v>204</v>
      </c>
      <c r="T150" t="s">
        <v>724</v>
      </c>
      <c r="U150" t="s">
        <v>1117</v>
      </c>
      <c r="V150" t="s">
        <v>267</v>
      </c>
      <c r="X150" t="s">
        <v>270</v>
      </c>
      <c r="Y150" t="s">
        <v>726</v>
      </c>
      <c r="Z150" t="s">
        <v>725</v>
      </c>
      <c r="AA150" t="s">
        <v>187</v>
      </c>
      <c r="AC150">
        <v>0.01</v>
      </c>
      <c r="AD150" t="s">
        <v>727</v>
      </c>
      <c r="AE150" t="s">
        <v>273</v>
      </c>
      <c r="AG150" t="s">
        <v>275</v>
      </c>
      <c r="AI150" t="s">
        <v>348</v>
      </c>
      <c r="AJ150" t="s">
        <v>728</v>
      </c>
      <c r="AK150">
        <v>2</v>
      </c>
      <c r="AM150">
        <v>21</v>
      </c>
      <c r="AO150" t="s">
        <v>1105</v>
      </c>
      <c r="AP150" t="s">
        <v>282</v>
      </c>
      <c r="AQ150" t="s">
        <v>283</v>
      </c>
      <c r="AR150" t="s">
        <v>537</v>
      </c>
      <c r="AS150" t="s">
        <v>1094</v>
      </c>
      <c r="AT150" t="s">
        <v>313</v>
      </c>
      <c r="AU150" t="s">
        <v>191</v>
      </c>
      <c r="AV150" s="30">
        <v>1</v>
      </c>
      <c r="AW150" t="s">
        <v>287</v>
      </c>
      <c r="AX150">
        <v>55</v>
      </c>
      <c r="AZ150" t="s">
        <v>829</v>
      </c>
      <c r="BA150">
        <v>2</v>
      </c>
      <c r="BB150" t="s">
        <v>289</v>
      </c>
      <c r="BC150" t="s">
        <v>239</v>
      </c>
      <c r="BE150" t="s">
        <v>314</v>
      </c>
      <c r="BF150" t="s">
        <v>292</v>
      </c>
      <c r="BG150" t="s">
        <v>298</v>
      </c>
      <c r="BH150" t="s">
        <v>191</v>
      </c>
      <c r="BI150">
        <v>1</v>
      </c>
      <c r="BJ150" t="s">
        <v>729</v>
      </c>
      <c r="BL150" t="s">
        <v>733</v>
      </c>
      <c r="BM150" t="s">
        <v>732</v>
      </c>
      <c r="BN150" t="str">
        <f t="shared" si="16"/>
        <v>contro.after_music.after</v>
      </c>
      <c r="BO150" t="s">
        <v>267</v>
      </c>
      <c r="BQ150">
        <v>6</v>
      </c>
      <c r="BR150">
        <v>6</v>
      </c>
      <c r="BS150" s="35">
        <v>10.44</v>
      </c>
      <c r="BT150" s="35">
        <v>1.04</v>
      </c>
      <c r="BU150" s="35"/>
      <c r="BV150" s="35"/>
      <c r="BW150" s="35">
        <v>29.44</v>
      </c>
      <c r="BX150" s="35">
        <v>8.8699999999999992</v>
      </c>
      <c r="BY150" s="35"/>
      <c r="CB150" t="s">
        <v>268</v>
      </c>
      <c r="CD150" t="s">
        <v>267</v>
      </c>
      <c r="CE150" t="s">
        <v>267</v>
      </c>
      <c r="CF150" t="s">
        <v>309</v>
      </c>
      <c r="CG150" t="s">
        <v>268</v>
      </c>
      <c r="CI150" t="s">
        <v>268</v>
      </c>
      <c r="CK150" s="30">
        <f t="shared" si="11"/>
        <v>3</v>
      </c>
      <c r="CL150">
        <f t="shared" si="12"/>
        <v>7</v>
      </c>
    </row>
    <row r="151" spans="1:90" hidden="1" x14ac:dyDescent="0.35">
      <c r="A151" t="s">
        <v>743</v>
      </c>
      <c r="B151" t="s">
        <v>717</v>
      </c>
      <c r="C151" t="s">
        <v>718</v>
      </c>
      <c r="D151" t="s">
        <v>719</v>
      </c>
      <c r="E151" t="s">
        <v>720</v>
      </c>
      <c r="F151">
        <v>2019</v>
      </c>
      <c r="G151" t="s">
        <v>175</v>
      </c>
      <c r="I151" t="s">
        <v>334</v>
      </c>
      <c r="K151" t="s">
        <v>178</v>
      </c>
      <c r="L151" t="s">
        <v>177</v>
      </c>
      <c r="M151" t="s">
        <v>721</v>
      </c>
      <c r="N151" t="s">
        <v>179</v>
      </c>
      <c r="O151" t="s">
        <v>190</v>
      </c>
      <c r="P151" t="s">
        <v>722</v>
      </c>
      <c r="Q151" t="s">
        <v>187</v>
      </c>
      <c r="R151" t="s">
        <v>723</v>
      </c>
      <c r="S151" t="s">
        <v>204</v>
      </c>
      <c r="T151" t="s">
        <v>724</v>
      </c>
      <c r="U151" t="s">
        <v>1117</v>
      </c>
      <c r="V151" t="s">
        <v>268</v>
      </c>
      <c r="X151" t="s">
        <v>269</v>
      </c>
      <c r="AE151" t="s">
        <v>273</v>
      </c>
      <c r="AG151" t="s">
        <v>275</v>
      </c>
      <c r="AI151" t="s">
        <v>311</v>
      </c>
      <c r="AK151">
        <v>2</v>
      </c>
      <c r="AM151">
        <v>21</v>
      </c>
      <c r="AO151" t="s">
        <v>1105</v>
      </c>
      <c r="AP151" t="s">
        <v>282</v>
      </c>
      <c r="AQ151" t="s">
        <v>283</v>
      </c>
      <c r="AR151" t="s">
        <v>537</v>
      </c>
      <c r="AS151" t="s">
        <v>1094</v>
      </c>
      <c r="AT151" t="s">
        <v>313</v>
      </c>
      <c r="AU151" t="s">
        <v>191</v>
      </c>
      <c r="AV151" s="30">
        <v>1</v>
      </c>
      <c r="AW151" t="s">
        <v>287</v>
      </c>
      <c r="AX151">
        <v>55</v>
      </c>
      <c r="AZ151" t="s">
        <v>829</v>
      </c>
      <c r="BA151">
        <v>2</v>
      </c>
      <c r="BB151" t="s">
        <v>289</v>
      </c>
      <c r="BC151" t="s">
        <v>243</v>
      </c>
      <c r="BE151" t="s">
        <v>398</v>
      </c>
      <c r="BF151" t="s">
        <v>292</v>
      </c>
      <c r="BG151" t="s">
        <v>298</v>
      </c>
      <c r="BH151" t="s">
        <v>191</v>
      </c>
      <c r="BI151">
        <v>1</v>
      </c>
      <c r="BJ151" t="s">
        <v>729</v>
      </c>
      <c r="BL151" t="s">
        <v>730</v>
      </c>
      <c r="BM151" t="s">
        <v>731</v>
      </c>
      <c r="BN151" t="str">
        <f t="shared" ref="BN151:BN152" si="17">_xlfn.CONCAT(BL151:BM151)</f>
        <v>control.prior_music.prior</v>
      </c>
      <c r="BO151" t="s">
        <v>267</v>
      </c>
      <c r="BQ151">
        <v>9</v>
      </c>
      <c r="BR151">
        <v>9</v>
      </c>
      <c r="BS151" s="35">
        <v>6.22</v>
      </c>
      <c r="BT151" s="35">
        <v>3.13</v>
      </c>
      <c r="BU151" s="35"/>
      <c r="BV151" s="35"/>
      <c r="BW151" s="35">
        <v>6.26</v>
      </c>
      <c r="BX151" s="35">
        <v>3.47</v>
      </c>
      <c r="BY151" s="35"/>
      <c r="CB151" t="s">
        <v>268</v>
      </c>
      <c r="CD151" t="s">
        <v>267</v>
      </c>
      <c r="CE151" t="s">
        <v>267</v>
      </c>
      <c r="CF151" t="s">
        <v>309</v>
      </c>
      <c r="CG151" t="s">
        <v>268</v>
      </c>
      <c r="CI151" t="s">
        <v>268</v>
      </c>
      <c r="CK151" s="30">
        <f t="shared" si="11"/>
        <v>3</v>
      </c>
      <c r="CL151">
        <f t="shared" si="12"/>
        <v>7</v>
      </c>
    </row>
    <row r="152" spans="1:90" hidden="1" x14ac:dyDescent="0.35">
      <c r="A152" t="s">
        <v>744</v>
      </c>
      <c r="B152" t="s">
        <v>717</v>
      </c>
      <c r="C152" t="s">
        <v>718</v>
      </c>
      <c r="D152" t="s">
        <v>719</v>
      </c>
      <c r="E152" t="s">
        <v>720</v>
      </c>
      <c r="F152">
        <v>2019</v>
      </c>
      <c r="G152" t="s">
        <v>175</v>
      </c>
      <c r="I152" t="s">
        <v>335</v>
      </c>
      <c r="K152" t="s">
        <v>178</v>
      </c>
      <c r="L152" t="s">
        <v>177</v>
      </c>
      <c r="M152" t="s">
        <v>721</v>
      </c>
      <c r="N152" t="s">
        <v>179</v>
      </c>
      <c r="O152" t="s">
        <v>190</v>
      </c>
      <c r="P152" t="s">
        <v>722</v>
      </c>
      <c r="Q152" t="s">
        <v>187</v>
      </c>
      <c r="R152" t="s">
        <v>723</v>
      </c>
      <c r="S152" t="s">
        <v>204</v>
      </c>
      <c r="T152" t="s">
        <v>724</v>
      </c>
      <c r="U152" t="s">
        <v>1117</v>
      </c>
      <c r="V152" t="s">
        <v>267</v>
      </c>
      <c r="X152" t="s">
        <v>270</v>
      </c>
      <c r="Y152" t="s">
        <v>726</v>
      </c>
      <c r="Z152" t="s">
        <v>725</v>
      </c>
      <c r="AA152" t="s">
        <v>187</v>
      </c>
      <c r="AC152">
        <v>0.01</v>
      </c>
      <c r="AD152" t="s">
        <v>727</v>
      </c>
      <c r="AE152" t="s">
        <v>273</v>
      </c>
      <c r="AG152" t="s">
        <v>275</v>
      </c>
      <c r="AI152" t="s">
        <v>348</v>
      </c>
      <c r="AJ152" t="s">
        <v>728</v>
      </c>
      <c r="AK152">
        <v>2</v>
      </c>
      <c r="AM152">
        <v>21</v>
      </c>
      <c r="AO152" t="s">
        <v>1105</v>
      </c>
      <c r="AP152" t="s">
        <v>282</v>
      </c>
      <c r="AQ152" t="s">
        <v>283</v>
      </c>
      <c r="AR152" t="s">
        <v>537</v>
      </c>
      <c r="AS152" t="s">
        <v>1094</v>
      </c>
      <c r="AT152" t="s">
        <v>313</v>
      </c>
      <c r="AU152" t="s">
        <v>191</v>
      </c>
      <c r="AV152" s="30">
        <v>1</v>
      </c>
      <c r="AW152" t="s">
        <v>287</v>
      </c>
      <c r="AX152">
        <v>55</v>
      </c>
      <c r="AZ152" t="s">
        <v>829</v>
      </c>
      <c r="BA152">
        <v>2</v>
      </c>
      <c r="BB152" t="s">
        <v>289</v>
      </c>
      <c r="BC152" t="s">
        <v>243</v>
      </c>
      <c r="BE152" t="s">
        <v>398</v>
      </c>
      <c r="BF152" t="s">
        <v>292</v>
      </c>
      <c r="BG152" t="s">
        <v>298</v>
      </c>
      <c r="BH152" t="s">
        <v>191</v>
      </c>
      <c r="BI152">
        <v>1</v>
      </c>
      <c r="BJ152" t="s">
        <v>729</v>
      </c>
      <c r="BL152" t="s">
        <v>733</v>
      </c>
      <c r="BM152" t="s">
        <v>732</v>
      </c>
      <c r="BN152" t="str">
        <f t="shared" si="17"/>
        <v>contro.after_music.after</v>
      </c>
      <c r="BO152" t="s">
        <v>267</v>
      </c>
      <c r="BQ152">
        <v>9</v>
      </c>
      <c r="BR152">
        <v>9</v>
      </c>
      <c r="BS152" s="35">
        <v>4.3600000000000003</v>
      </c>
      <c r="BT152" s="35">
        <v>2.2200000000000002</v>
      </c>
      <c r="BU152" s="35"/>
      <c r="BV152" s="35"/>
      <c r="BW152" s="35">
        <v>6.95</v>
      </c>
      <c r="BX152" s="35">
        <v>2.46</v>
      </c>
      <c r="BY152" s="35"/>
      <c r="CB152" t="s">
        <v>268</v>
      </c>
      <c r="CD152" t="s">
        <v>267</v>
      </c>
      <c r="CE152" t="s">
        <v>267</v>
      </c>
      <c r="CF152" t="s">
        <v>309</v>
      </c>
      <c r="CG152" t="s">
        <v>268</v>
      </c>
      <c r="CI152" t="s">
        <v>268</v>
      </c>
      <c r="CK152" s="30">
        <f t="shared" si="11"/>
        <v>3</v>
      </c>
      <c r="CL152">
        <f t="shared" si="12"/>
        <v>7</v>
      </c>
    </row>
    <row r="153" spans="1:90" hidden="1" x14ac:dyDescent="0.35">
      <c r="A153" t="s">
        <v>745</v>
      </c>
      <c r="B153" t="s">
        <v>717</v>
      </c>
      <c r="C153" t="s">
        <v>718</v>
      </c>
      <c r="D153" t="s">
        <v>719</v>
      </c>
      <c r="E153" t="s">
        <v>720</v>
      </c>
      <c r="F153">
        <v>2019</v>
      </c>
      <c r="G153" t="s">
        <v>344</v>
      </c>
      <c r="I153" t="s">
        <v>334</v>
      </c>
      <c r="K153" t="s">
        <v>178</v>
      </c>
      <c r="L153" t="s">
        <v>177</v>
      </c>
      <c r="M153" t="s">
        <v>721</v>
      </c>
      <c r="N153" t="s">
        <v>193</v>
      </c>
      <c r="O153" t="s">
        <v>190</v>
      </c>
      <c r="P153" t="s">
        <v>722</v>
      </c>
      <c r="Q153" t="s">
        <v>187</v>
      </c>
      <c r="R153" t="s">
        <v>723</v>
      </c>
      <c r="S153" t="s">
        <v>204</v>
      </c>
      <c r="T153" t="s">
        <v>724</v>
      </c>
      <c r="U153" t="s">
        <v>1117</v>
      </c>
      <c r="V153" t="s">
        <v>268</v>
      </c>
      <c r="X153" t="s">
        <v>269</v>
      </c>
      <c r="AE153" t="s">
        <v>273</v>
      </c>
      <c r="AG153" t="s">
        <v>275</v>
      </c>
      <c r="AI153" t="s">
        <v>311</v>
      </c>
      <c r="AK153">
        <v>2</v>
      </c>
      <c r="AM153">
        <v>21</v>
      </c>
      <c r="AO153" t="s">
        <v>1105</v>
      </c>
      <c r="AP153" t="s">
        <v>282</v>
      </c>
      <c r="AQ153" t="s">
        <v>283</v>
      </c>
      <c r="AR153" t="s">
        <v>537</v>
      </c>
      <c r="AS153" t="s">
        <v>1094</v>
      </c>
      <c r="AT153" t="s">
        <v>313</v>
      </c>
      <c r="AU153" t="s">
        <v>191</v>
      </c>
      <c r="AV153" s="30">
        <v>1</v>
      </c>
      <c r="AW153" t="s">
        <v>287</v>
      </c>
      <c r="AX153">
        <v>55</v>
      </c>
      <c r="AZ153" t="s">
        <v>829</v>
      </c>
      <c r="BA153">
        <v>2</v>
      </c>
      <c r="BB153" t="s">
        <v>289</v>
      </c>
      <c r="BC153" t="s">
        <v>243</v>
      </c>
      <c r="BE153" t="s">
        <v>398</v>
      </c>
      <c r="BF153" t="s">
        <v>292</v>
      </c>
      <c r="BG153" t="s">
        <v>298</v>
      </c>
      <c r="BH153" t="s">
        <v>191</v>
      </c>
      <c r="BI153">
        <v>1</v>
      </c>
      <c r="BJ153" t="s">
        <v>729</v>
      </c>
      <c r="BL153" t="s">
        <v>730</v>
      </c>
      <c r="BM153" t="s">
        <v>731</v>
      </c>
      <c r="BN153" t="str">
        <f t="shared" ref="BN153:BN186" si="18">_xlfn.CONCAT(BL153:BM153)</f>
        <v>control.prior_music.prior</v>
      </c>
      <c r="BO153" t="s">
        <v>267</v>
      </c>
      <c r="BQ153">
        <v>6</v>
      </c>
      <c r="BR153">
        <v>6</v>
      </c>
      <c r="BS153" s="35">
        <v>5.39</v>
      </c>
      <c r="BT153" s="35">
        <v>1.93</v>
      </c>
      <c r="BU153" s="35"/>
      <c r="BV153" s="35"/>
      <c r="BW153" s="35">
        <v>5.69</v>
      </c>
      <c r="BX153" s="35">
        <v>2.58</v>
      </c>
      <c r="BY153" s="35"/>
      <c r="CB153" t="s">
        <v>268</v>
      </c>
      <c r="CD153" t="s">
        <v>267</v>
      </c>
      <c r="CE153" t="s">
        <v>267</v>
      </c>
      <c r="CF153" t="s">
        <v>309</v>
      </c>
      <c r="CG153" t="s">
        <v>268</v>
      </c>
      <c r="CI153" t="s">
        <v>268</v>
      </c>
      <c r="CK153" s="30">
        <f t="shared" si="11"/>
        <v>3</v>
      </c>
      <c r="CL153">
        <f t="shared" si="12"/>
        <v>7</v>
      </c>
    </row>
    <row r="154" spans="1:90" hidden="1" x14ac:dyDescent="0.35">
      <c r="A154" t="s">
        <v>746</v>
      </c>
      <c r="B154" t="s">
        <v>717</v>
      </c>
      <c r="C154" t="s">
        <v>718</v>
      </c>
      <c r="D154" t="s">
        <v>719</v>
      </c>
      <c r="E154" t="s">
        <v>720</v>
      </c>
      <c r="F154">
        <v>2019</v>
      </c>
      <c r="G154" t="s">
        <v>344</v>
      </c>
      <c r="I154" t="s">
        <v>335</v>
      </c>
      <c r="K154" t="s">
        <v>178</v>
      </c>
      <c r="L154" t="s">
        <v>177</v>
      </c>
      <c r="M154" t="s">
        <v>721</v>
      </c>
      <c r="N154" t="s">
        <v>193</v>
      </c>
      <c r="O154" t="s">
        <v>190</v>
      </c>
      <c r="P154" t="s">
        <v>722</v>
      </c>
      <c r="Q154" t="s">
        <v>187</v>
      </c>
      <c r="R154" t="s">
        <v>723</v>
      </c>
      <c r="S154" t="s">
        <v>204</v>
      </c>
      <c r="T154" t="s">
        <v>724</v>
      </c>
      <c r="U154" t="s">
        <v>1117</v>
      </c>
      <c r="V154" t="s">
        <v>267</v>
      </c>
      <c r="X154" t="s">
        <v>270</v>
      </c>
      <c r="Y154" t="s">
        <v>726</v>
      </c>
      <c r="Z154" t="s">
        <v>725</v>
      </c>
      <c r="AA154" t="s">
        <v>187</v>
      </c>
      <c r="AC154">
        <v>0.01</v>
      </c>
      <c r="AD154" t="s">
        <v>727</v>
      </c>
      <c r="AE154" t="s">
        <v>273</v>
      </c>
      <c r="AG154" t="s">
        <v>275</v>
      </c>
      <c r="AI154" t="s">
        <v>348</v>
      </c>
      <c r="AJ154" t="s">
        <v>728</v>
      </c>
      <c r="AK154">
        <v>2</v>
      </c>
      <c r="AM154">
        <v>21</v>
      </c>
      <c r="AO154" t="s">
        <v>1105</v>
      </c>
      <c r="AP154" t="s">
        <v>282</v>
      </c>
      <c r="AQ154" t="s">
        <v>283</v>
      </c>
      <c r="AR154" t="s">
        <v>537</v>
      </c>
      <c r="AS154" t="s">
        <v>1094</v>
      </c>
      <c r="AT154" t="s">
        <v>313</v>
      </c>
      <c r="AU154" t="s">
        <v>191</v>
      </c>
      <c r="AV154" s="30">
        <v>1</v>
      </c>
      <c r="AW154" t="s">
        <v>287</v>
      </c>
      <c r="AX154">
        <v>55</v>
      </c>
      <c r="AZ154" t="s">
        <v>829</v>
      </c>
      <c r="BA154">
        <v>2</v>
      </c>
      <c r="BB154" t="s">
        <v>289</v>
      </c>
      <c r="BC154" t="s">
        <v>243</v>
      </c>
      <c r="BE154" t="s">
        <v>398</v>
      </c>
      <c r="BF154" t="s">
        <v>292</v>
      </c>
      <c r="BG154" t="s">
        <v>298</v>
      </c>
      <c r="BH154" t="s">
        <v>191</v>
      </c>
      <c r="BI154">
        <v>1</v>
      </c>
      <c r="BJ154" t="s">
        <v>729</v>
      </c>
      <c r="BL154" t="s">
        <v>733</v>
      </c>
      <c r="BM154" t="s">
        <v>732</v>
      </c>
      <c r="BN154" t="str">
        <f t="shared" si="18"/>
        <v>contro.after_music.after</v>
      </c>
      <c r="BO154" t="s">
        <v>267</v>
      </c>
      <c r="BQ154">
        <v>6</v>
      </c>
      <c r="BR154">
        <v>6</v>
      </c>
      <c r="BS154" s="35">
        <v>3.4</v>
      </c>
      <c r="BT154" s="35">
        <v>1.1000000000000001</v>
      </c>
      <c r="BU154" s="35"/>
      <c r="BV154" s="35"/>
      <c r="BW154" s="35">
        <v>8.0299999999999994</v>
      </c>
      <c r="BX154" s="35">
        <v>2.25</v>
      </c>
      <c r="BY154" s="35"/>
      <c r="CB154" t="s">
        <v>268</v>
      </c>
      <c r="CD154" t="s">
        <v>267</v>
      </c>
      <c r="CE154" t="s">
        <v>267</v>
      </c>
      <c r="CF154" t="s">
        <v>309</v>
      </c>
      <c r="CG154" t="s">
        <v>268</v>
      </c>
      <c r="CI154" t="s">
        <v>268</v>
      </c>
      <c r="CK154" s="30">
        <f t="shared" si="11"/>
        <v>3</v>
      </c>
      <c r="CL154">
        <f t="shared" si="12"/>
        <v>7</v>
      </c>
    </row>
    <row r="155" spans="1:90" hidden="1" x14ac:dyDescent="0.35">
      <c r="A155" t="s">
        <v>770</v>
      </c>
      <c r="B155" t="s">
        <v>747</v>
      </c>
      <c r="C155" t="s">
        <v>300</v>
      </c>
      <c r="D155" t="s">
        <v>748</v>
      </c>
      <c r="E155" t="s">
        <v>749</v>
      </c>
      <c r="F155">
        <v>2024</v>
      </c>
      <c r="G155" t="s">
        <v>175</v>
      </c>
      <c r="I155" t="s">
        <v>176</v>
      </c>
      <c r="K155" t="s">
        <v>180</v>
      </c>
      <c r="L155" t="s">
        <v>181</v>
      </c>
      <c r="M155" t="s">
        <v>509</v>
      </c>
      <c r="N155" t="s">
        <v>179</v>
      </c>
      <c r="O155" t="s">
        <v>186</v>
      </c>
      <c r="P155" t="s">
        <v>750</v>
      </c>
      <c r="Q155" t="s">
        <v>187</v>
      </c>
      <c r="S155" t="s">
        <v>194</v>
      </c>
      <c r="U155" t="s">
        <v>1117</v>
      </c>
      <c r="V155" t="s">
        <v>268</v>
      </c>
      <c r="X155" t="s">
        <v>269</v>
      </c>
      <c r="AE155" t="s">
        <v>273</v>
      </c>
      <c r="AG155" t="s">
        <v>275</v>
      </c>
      <c r="AI155" t="s">
        <v>345</v>
      </c>
      <c r="AK155">
        <v>6</v>
      </c>
      <c r="AM155">
        <v>7</v>
      </c>
      <c r="AO155" t="s">
        <v>1104</v>
      </c>
      <c r="AP155" t="s">
        <v>281</v>
      </c>
      <c r="AQ155" t="s">
        <v>751</v>
      </c>
      <c r="AS155" t="s">
        <v>1096</v>
      </c>
      <c r="AT155" t="s">
        <v>191</v>
      </c>
      <c r="AU155" t="s">
        <v>191</v>
      </c>
      <c r="AV155" s="30">
        <v>0</v>
      </c>
      <c r="AW155" t="s">
        <v>287</v>
      </c>
      <c r="AX155" t="s">
        <v>191</v>
      </c>
      <c r="AZ155" t="s">
        <v>829</v>
      </c>
      <c r="BA155">
        <v>0</v>
      </c>
      <c r="BB155" t="s">
        <v>290</v>
      </c>
      <c r="BC155" t="s">
        <v>257</v>
      </c>
      <c r="BD155" t="s">
        <v>753</v>
      </c>
      <c r="BE155" t="s">
        <v>526</v>
      </c>
      <c r="BF155" t="s">
        <v>292</v>
      </c>
      <c r="BG155" t="s">
        <v>298</v>
      </c>
      <c r="BH155" t="s">
        <v>281</v>
      </c>
      <c r="BI155">
        <v>2</v>
      </c>
      <c r="BJ155" t="s">
        <v>370</v>
      </c>
      <c r="BK155" t="s">
        <v>758</v>
      </c>
      <c r="BL155" t="s">
        <v>755</v>
      </c>
      <c r="BM155" t="s">
        <v>756</v>
      </c>
      <c r="BN155" t="str">
        <f t="shared" si="18"/>
        <v>WT_HH</v>
      </c>
      <c r="BO155" t="s">
        <v>267</v>
      </c>
      <c r="BQ155">
        <v>10</v>
      </c>
      <c r="BR155">
        <v>10</v>
      </c>
      <c r="BS155" s="35">
        <v>56.582633049999998</v>
      </c>
      <c r="BT155" s="35">
        <v>4.817927171</v>
      </c>
      <c r="BU155" s="35">
        <v>15.235623459999999</v>
      </c>
      <c r="BV155" s="35"/>
      <c r="BW155" s="35">
        <v>54.117647060000003</v>
      </c>
      <c r="BX155" s="35">
        <v>2.0168067230000002</v>
      </c>
      <c r="BY155" s="35">
        <v>6.3777028439999999</v>
      </c>
      <c r="CB155" t="s">
        <v>268</v>
      </c>
      <c r="CD155" t="s">
        <v>268</v>
      </c>
      <c r="CE155" t="s">
        <v>191</v>
      </c>
      <c r="CF155" t="s">
        <v>309</v>
      </c>
      <c r="CG155" t="s">
        <v>268</v>
      </c>
      <c r="CI155" t="s">
        <v>268</v>
      </c>
      <c r="CK155" s="30">
        <f t="shared" si="11"/>
        <v>1</v>
      </c>
      <c r="CL155">
        <f t="shared" si="12"/>
        <v>3</v>
      </c>
    </row>
    <row r="156" spans="1:90" hidden="1" x14ac:dyDescent="0.35">
      <c r="A156" t="s">
        <v>771</v>
      </c>
      <c r="B156" t="s">
        <v>747</v>
      </c>
      <c r="C156" t="s">
        <v>300</v>
      </c>
      <c r="D156" t="s">
        <v>748</v>
      </c>
      <c r="E156" t="s">
        <v>749</v>
      </c>
      <c r="F156">
        <v>2024</v>
      </c>
      <c r="G156" t="s">
        <v>344</v>
      </c>
      <c r="I156" t="s">
        <v>176</v>
      </c>
      <c r="K156" t="s">
        <v>180</v>
      </c>
      <c r="L156" t="s">
        <v>181</v>
      </c>
      <c r="M156" t="s">
        <v>509</v>
      </c>
      <c r="N156" t="s">
        <v>179</v>
      </c>
      <c r="O156" t="s">
        <v>186</v>
      </c>
      <c r="P156" t="s">
        <v>750</v>
      </c>
      <c r="Q156" t="s">
        <v>187</v>
      </c>
      <c r="S156" t="s">
        <v>194</v>
      </c>
      <c r="U156" t="s">
        <v>1117</v>
      </c>
      <c r="V156" t="s">
        <v>268</v>
      </c>
      <c r="X156" t="s">
        <v>269</v>
      </c>
      <c r="AE156" t="s">
        <v>273</v>
      </c>
      <c r="AG156" t="s">
        <v>275</v>
      </c>
      <c r="AI156" t="s">
        <v>345</v>
      </c>
      <c r="AK156">
        <v>6</v>
      </c>
      <c r="AM156">
        <v>7</v>
      </c>
      <c r="AO156" t="s">
        <v>1104</v>
      </c>
      <c r="AP156" t="s">
        <v>281</v>
      </c>
      <c r="AQ156" t="s">
        <v>752</v>
      </c>
      <c r="AS156" t="s">
        <v>1096</v>
      </c>
      <c r="AT156" t="s">
        <v>191</v>
      </c>
      <c r="AU156" t="s">
        <v>191</v>
      </c>
      <c r="AV156" s="30">
        <v>0</v>
      </c>
      <c r="AW156" t="s">
        <v>287</v>
      </c>
      <c r="AX156" t="s">
        <v>191</v>
      </c>
      <c r="AZ156" t="s">
        <v>829</v>
      </c>
      <c r="BA156">
        <v>0</v>
      </c>
      <c r="BB156" t="s">
        <v>290</v>
      </c>
      <c r="BC156" t="s">
        <v>257</v>
      </c>
      <c r="BD156" t="s">
        <v>753</v>
      </c>
      <c r="BE156" t="s">
        <v>526</v>
      </c>
      <c r="BF156" t="s">
        <v>292</v>
      </c>
      <c r="BG156" t="s">
        <v>298</v>
      </c>
      <c r="BH156" t="s">
        <v>281</v>
      </c>
      <c r="BI156">
        <v>2</v>
      </c>
      <c r="BJ156" t="s">
        <v>754</v>
      </c>
      <c r="BK156" t="s">
        <v>758</v>
      </c>
      <c r="BL156" t="s">
        <v>755</v>
      </c>
      <c r="BM156" t="s">
        <v>757</v>
      </c>
      <c r="BN156" t="str">
        <f t="shared" si="18"/>
        <v>WT_HM</v>
      </c>
      <c r="BO156" t="s">
        <v>267</v>
      </c>
      <c r="BQ156">
        <v>10</v>
      </c>
      <c r="BR156">
        <v>10</v>
      </c>
      <c r="BS156" s="35">
        <v>56.582633049999998</v>
      </c>
      <c r="BT156" s="35">
        <v>4.817927171</v>
      </c>
      <c r="BU156" s="35">
        <v>15.235623459999999</v>
      </c>
      <c r="BV156" s="35"/>
      <c r="BW156" s="35">
        <v>25.210084030000001</v>
      </c>
      <c r="BX156" s="35">
        <v>3.9215686270000001</v>
      </c>
      <c r="BY156" s="35">
        <v>12.40108886</v>
      </c>
      <c r="CB156" t="s">
        <v>268</v>
      </c>
      <c r="CD156" t="s">
        <v>268</v>
      </c>
      <c r="CE156" t="s">
        <v>191</v>
      </c>
      <c r="CF156" t="s">
        <v>309</v>
      </c>
      <c r="CG156" t="s">
        <v>268</v>
      </c>
      <c r="CI156" t="s">
        <v>268</v>
      </c>
      <c r="CK156" s="30">
        <f t="shared" si="11"/>
        <v>1</v>
      </c>
      <c r="CL156">
        <f t="shared" si="12"/>
        <v>3</v>
      </c>
    </row>
    <row r="157" spans="1:90" hidden="1" x14ac:dyDescent="0.35">
      <c r="A157" t="s">
        <v>772</v>
      </c>
      <c r="B157" t="s">
        <v>747</v>
      </c>
      <c r="C157" t="s">
        <v>300</v>
      </c>
      <c r="D157" t="s">
        <v>748</v>
      </c>
      <c r="E157" t="s">
        <v>749</v>
      </c>
      <c r="F157">
        <v>2024</v>
      </c>
      <c r="G157" t="s">
        <v>175</v>
      </c>
      <c r="I157" t="s">
        <v>331</v>
      </c>
      <c r="K157" t="s">
        <v>180</v>
      </c>
      <c r="L157" t="s">
        <v>181</v>
      </c>
      <c r="M157" t="s">
        <v>509</v>
      </c>
      <c r="N157" t="s">
        <v>179</v>
      </c>
      <c r="O157" t="s">
        <v>186</v>
      </c>
      <c r="P157" t="s">
        <v>750</v>
      </c>
      <c r="Q157" t="s">
        <v>187</v>
      </c>
      <c r="S157" t="s">
        <v>194</v>
      </c>
      <c r="U157" t="s">
        <v>1117</v>
      </c>
      <c r="V157" t="s">
        <v>268</v>
      </c>
      <c r="X157" t="s">
        <v>269</v>
      </c>
      <c r="AE157" t="s">
        <v>273</v>
      </c>
      <c r="AG157" t="s">
        <v>275</v>
      </c>
      <c r="AI157" t="s">
        <v>345</v>
      </c>
      <c r="AK157">
        <v>6</v>
      </c>
      <c r="AM157">
        <v>7</v>
      </c>
      <c r="AO157" t="s">
        <v>1104</v>
      </c>
      <c r="AP157" t="s">
        <v>281</v>
      </c>
      <c r="AQ157" t="s">
        <v>751</v>
      </c>
      <c r="AS157" t="s">
        <v>1096</v>
      </c>
      <c r="AT157" t="s">
        <v>191</v>
      </c>
      <c r="AU157" t="s">
        <v>191</v>
      </c>
      <c r="AV157" s="30">
        <v>0</v>
      </c>
      <c r="AW157" t="s">
        <v>287</v>
      </c>
      <c r="AX157" t="s">
        <v>191</v>
      </c>
      <c r="AZ157" t="s">
        <v>829</v>
      </c>
      <c r="BA157">
        <v>0</v>
      </c>
      <c r="BB157" t="s">
        <v>290</v>
      </c>
      <c r="BC157" t="s">
        <v>265</v>
      </c>
      <c r="BE157" t="s">
        <v>559</v>
      </c>
      <c r="BF157" t="s">
        <v>291</v>
      </c>
      <c r="BG157" t="s">
        <v>297</v>
      </c>
      <c r="BH157" t="s">
        <v>191</v>
      </c>
      <c r="BI157">
        <v>1</v>
      </c>
      <c r="BJ157" t="s">
        <v>315</v>
      </c>
      <c r="BK157" t="s">
        <v>759</v>
      </c>
      <c r="BL157" t="s">
        <v>755</v>
      </c>
      <c r="BM157" t="s">
        <v>756</v>
      </c>
      <c r="BN157" t="str">
        <f t="shared" si="18"/>
        <v>WT_HH</v>
      </c>
      <c r="BO157" t="s">
        <v>268</v>
      </c>
      <c r="BQ157">
        <v>10</v>
      </c>
      <c r="BR157">
        <v>10</v>
      </c>
      <c r="BS157" s="35">
        <v>160.173913</v>
      </c>
      <c r="BT157" s="35">
        <v>18.260869570000001</v>
      </c>
      <c r="BU157" s="35">
        <v>57.745939880000002</v>
      </c>
      <c r="BV157" s="35"/>
      <c r="BW157" s="35">
        <v>107.4782609</v>
      </c>
      <c r="BX157" s="35">
        <v>8.3478260869999996</v>
      </c>
      <c r="BY157" s="35">
        <v>26.398143950000001</v>
      </c>
      <c r="CB157" t="s">
        <v>268</v>
      </c>
      <c r="CD157" t="s">
        <v>268</v>
      </c>
      <c r="CE157" t="s">
        <v>191</v>
      </c>
      <c r="CF157" t="s">
        <v>309</v>
      </c>
      <c r="CG157" t="s">
        <v>268</v>
      </c>
      <c r="CI157" t="s">
        <v>268</v>
      </c>
      <c r="CK157" s="30">
        <f t="shared" si="11"/>
        <v>1</v>
      </c>
      <c r="CL157">
        <f t="shared" si="12"/>
        <v>2</v>
      </c>
    </row>
    <row r="158" spans="1:90" hidden="1" x14ac:dyDescent="0.35">
      <c r="A158" t="s">
        <v>773</v>
      </c>
      <c r="B158" t="s">
        <v>747</v>
      </c>
      <c r="C158" t="s">
        <v>300</v>
      </c>
      <c r="D158" t="s">
        <v>748</v>
      </c>
      <c r="E158" t="s">
        <v>749</v>
      </c>
      <c r="F158">
        <v>2024</v>
      </c>
      <c r="G158" t="s">
        <v>344</v>
      </c>
      <c r="I158" t="s">
        <v>331</v>
      </c>
      <c r="K158" t="s">
        <v>180</v>
      </c>
      <c r="L158" t="s">
        <v>181</v>
      </c>
      <c r="M158" t="s">
        <v>509</v>
      </c>
      <c r="N158" t="s">
        <v>179</v>
      </c>
      <c r="O158" t="s">
        <v>186</v>
      </c>
      <c r="P158" t="s">
        <v>750</v>
      </c>
      <c r="Q158" t="s">
        <v>187</v>
      </c>
      <c r="S158" t="s">
        <v>194</v>
      </c>
      <c r="U158" t="s">
        <v>1117</v>
      </c>
      <c r="V158" t="s">
        <v>268</v>
      </c>
      <c r="X158" t="s">
        <v>269</v>
      </c>
      <c r="AE158" t="s">
        <v>273</v>
      </c>
      <c r="AG158" t="s">
        <v>275</v>
      </c>
      <c r="AI158" t="s">
        <v>345</v>
      </c>
      <c r="AK158">
        <v>6</v>
      </c>
      <c r="AM158">
        <v>7</v>
      </c>
      <c r="AO158" t="s">
        <v>1104</v>
      </c>
      <c r="AP158" t="s">
        <v>281</v>
      </c>
      <c r="AQ158" t="s">
        <v>752</v>
      </c>
      <c r="AS158" t="s">
        <v>1096</v>
      </c>
      <c r="AT158" t="s">
        <v>191</v>
      </c>
      <c r="AU158" t="s">
        <v>191</v>
      </c>
      <c r="AV158" s="30">
        <v>0</v>
      </c>
      <c r="AW158" t="s">
        <v>287</v>
      </c>
      <c r="AX158" t="s">
        <v>191</v>
      </c>
      <c r="AZ158" t="s">
        <v>829</v>
      </c>
      <c r="BA158">
        <v>0</v>
      </c>
      <c r="BB158" t="s">
        <v>290</v>
      </c>
      <c r="BC158" t="s">
        <v>265</v>
      </c>
      <c r="BE158" t="s">
        <v>559</v>
      </c>
      <c r="BF158" t="s">
        <v>291</v>
      </c>
      <c r="BG158" t="s">
        <v>297</v>
      </c>
      <c r="BH158" t="s">
        <v>191</v>
      </c>
      <c r="BI158">
        <v>1</v>
      </c>
      <c r="BJ158" t="s">
        <v>315</v>
      </c>
      <c r="BK158" t="s">
        <v>759</v>
      </c>
      <c r="BL158" t="s">
        <v>755</v>
      </c>
      <c r="BM158" t="s">
        <v>757</v>
      </c>
      <c r="BN158" t="str">
        <f t="shared" si="18"/>
        <v>WT_HM</v>
      </c>
      <c r="BO158" t="s">
        <v>268</v>
      </c>
      <c r="BQ158">
        <v>10</v>
      </c>
      <c r="BR158">
        <v>10</v>
      </c>
      <c r="BS158" s="35">
        <v>160.173913</v>
      </c>
      <c r="BT158" s="35">
        <v>18.260869570000001</v>
      </c>
      <c r="BU158" s="35">
        <v>57.745939880000002</v>
      </c>
      <c r="BV158" s="35"/>
      <c r="BW158" s="35">
        <v>78.782608699999997</v>
      </c>
      <c r="BX158" s="35">
        <v>13.565217390000001</v>
      </c>
      <c r="BY158" s="35">
        <v>42.896983910000003</v>
      </c>
      <c r="CB158" t="s">
        <v>268</v>
      </c>
      <c r="CD158" t="s">
        <v>268</v>
      </c>
      <c r="CE158" t="s">
        <v>191</v>
      </c>
      <c r="CF158" t="s">
        <v>309</v>
      </c>
      <c r="CG158" t="s">
        <v>268</v>
      </c>
      <c r="CI158" t="s">
        <v>268</v>
      </c>
      <c r="CK158" s="30">
        <f t="shared" si="11"/>
        <v>1</v>
      </c>
      <c r="CL158">
        <f t="shared" si="12"/>
        <v>2</v>
      </c>
    </row>
    <row r="159" spans="1:90" hidden="1" x14ac:dyDescent="0.35">
      <c r="A159" t="s">
        <v>774</v>
      </c>
      <c r="B159" t="s">
        <v>747</v>
      </c>
      <c r="C159" t="s">
        <v>300</v>
      </c>
      <c r="D159" t="s">
        <v>748</v>
      </c>
      <c r="E159" t="s">
        <v>749</v>
      </c>
      <c r="F159">
        <v>2024</v>
      </c>
      <c r="G159" t="s">
        <v>175</v>
      </c>
      <c r="I159" t="s">
        <v>332</v>
      </c>
      <c r="K159" t="s">
        <v>180</v>
      </c>
      <c r="L159" t="s">
        <v>181</v>
      </c>
      <c r="M159" t="s">
        <v>509</v>
      </c>
      <c r="N159" t="s">
        <v>179</v>
      </c>
      <c r="O159" t="s">
        <v>186</v>
      </c>
      <c r="P159" t="s">
        <v>750</v>
      </c>
      <c r="Q159" t="s">
        <v>187</v>
      </c>
      <c r="S159" t="s">
        <v>194</v>
      </c>
      <c r="U159" t="s">
        <v>1117</v>
      </c>
      <c r="V159" t="s">
        <v>268</v>
      </c>
      <c r="X159" t="s">
        <v>269</v>
      </c>
      <c r="AE159" t="s">
        <v>273</v>
      </c>
      <c r="AG159" t="s">
        <v>275</v>
      </c>
      <c r="AI159" t="s">
        <v>345</v>
      </c>
      <c r="AK159">
        <v>6</v>
      </c>
      <c r="AM159">
        <v>7</v>
      </c>
      <c r="AO159" t="s">
        <v>1104</v>
      </c>
      <c r="AP159" t="s">
        <v>281</v>
      </c>
      <c r="AQ159" t="s">
        <v>751</v>
      </c>
      <c r="AS159" t="s">
        <v>1096</v>
      </c>
      <c r="AT159" t="s">
        <v>191</v>
      </c>
      <c r="AU159" t="s">
        <v>191</v>
      </c>
      <c r="AV159" s="30">
        <v>0</v>
      </c>
      <c r="AW159" t="s">
        <v>287</v>
      </c>
      <c r="AX159" t="s">
        <v>191</v>
      </c>
      <c r="AZ159" t="s">
        <v>829</v>
      </c>
      <c r="BA159">
        <v>0</v>
      </c>
      <c r="BB159" t="s">
        <v>290</v>
      </c>
      <c r="BC159" t="s">
        <v>261</v>
      </c>
      <c r="BE159" t="s">
        <v>434</v>
      </c>
      <c r="BF159" t="s">
        <v>291</v>
      </c>
      <c r="BG159" t="s">
        <v>297</v>
      </c>
      <c r="BH159" t="s">
        <v>191</v>
      </c>
      <c r="BI159">
        <v>1</v>
      </c>
      <c r="BJ159" t="s">
        <v>322</v>
      </c>
      <c r="BK159" t="s">
        <v>760</v>
      </c>
      <c r="BL159" t="s">
        <v>755</v>
      </c>
      <c r="BM159" t="s">
        <v>756</v>
      </c>
      <c r="BN159" t="str">
        <f t="shared" ref="BN159:BN160" si="19">_xlfn.CONCAT(BL159:BM159)</f>
        <v>WT_HH</v>
      </c>
      <c r="BO159" t="s">
        <v>267</v>
      </c>
      <c r="BQ159">
        <v>10</v>
      </c>
      <c r="BR159">
        <v>10</v>
      </c>
      <c r="BS159" s="35">
        <v>128.59259259999999</v>
      </c>
      <c r="BT159" s="35">
        <v>12.44444444</v>
      </c>
      <c r="BU159" s="35">
        <v>39.352788660000002</v>
      </c>
      <c r="BV159" s="35"/>
      <c r="BW159" s="35">
        <v>115.8518519</v>
      </c>
      <c r="BX159" s="35">
        <v>17.777777780000001</v>
      </c>
      <c r="BY159" s="35">
        <v>56.218269509999999</v>
      </c>
      <c r="CB159" t="s">
        <v>268</v>
      </c>
      <c r="CD159" t="s">
        <v>268</v>
      </c>
      <c r="CE159" t="s">
        <v>191</v>
      </c>
      <c r="CF159" t="s">
        <v>309</v>
      </c>
      <c r="CG159" t="s">
        <v>268</v>
      </c>
      <c r="CI159" t="s">
        <v>268</v>
      </c>
      <c r="CK159" s="30">
        <f t="shared" si="11"/>
        <v>1</v>
      </c>
      <c r="CL159">
        <f t="shared" si="12"/>
        <v>2</v>
      </c>
    </row>
    <row r="160" spans="1:90" hidden="1" x14ac:dyDescent="0.35">
      <c r="A160" t="s">
        <v>775</v>
      </c>
      <c r="B160" t="s">
        <v>747</v>
      </c>
      <c r="C160" t="s">
        <v>300</v>
      </c>
      <c r="D160" t="s">
        <v>748</v>
      </c>
      <c r="E160" t="s">
        <v>749</v>
      </c>
      <c r="F160">
        <v>2024</v>
      </c>
      <c r="G160" t="s">
        <v>344</v>
      </c>
      <c r="I160" t="s">
        <v>332</v>
      </c>
      <c r="K160" t="s">
        <v>180</v>
      </c>
      <c r="L160" t="s">
        <v>181</v>
      </c>
      <c r="M160" t="s">
        <v>509</v>
      </c>
      <c r="N160" t="s">
        <v>179</v>
      </c>
      <c r="O160" t="s">
        <v>186</v>
      </c>
      <c r="P160" t="s">
        <v>750</v>
      </c>
      <c r="Q160" t="s">
        <v>187</v>
      </c>
      <c r="S160" t="s">
        <v>194</v>
      </c>
      <c r="U160" t="s">
        <v>1117</v>
      </c>
      <c r="V160" t="s">
        <v>268</v>
      </c>
      <c r="X160" t="s">
        <v>269</v>
      </c>
      <c r="AE160" t="s">
        <v>273</v>
      </c>
      <c r="AG160" t="s">
        <v>275</v>
      </c>
      <c r="AI160" t="s">
        <v>345</v>
      </c>
      <c r="AK160">
        <v>6</v>
      </c>
      <c r="AM160">
        <v>7</v>
      </c>
      <c r="AO160" t="s">
        <v>1104</v>
      </c>
      <c r="AP160" t="s">
        <v>281</v>
      </c>
      <c r="AQ160" t="s">
        <v>752</v>
      </c>
      <c r="AS160" t="s">
        <v>1096</v>
      </c>
      <c r="AT160" t="s">
        <v>191</v>
      </c>
      <c r="AU160" t="s">
        <v>191</v>
      </c>
      <c r="AV160" s="30">
        <v>0</v>
      </c>
      <c r="AW160" t="s">
        <v>287</v>
      </c>
      <c r="AX160" t="s">
        <v>191</v>
      </c>
      <c r="AZ160" t="s">
        <v>829</v>
      </c>
      <c r="BA160">
        <v>0</v>
      </c>
      <c r="BB160" t="s">
        <v>290</v>
      </c>
      <c r="BC160" t="s">
        <v>261</v>
      </c>
      <c r="BE160" t="s">
        <v>434</v>
      </c>
      <c r="BF160" t="s">
        <v>291</v>
      </c>
      <c r="BG160" t="s">
        <v>297</v>
      </c>
      <c r="BH160" t="s">
        <v>191</v>
      </c>
      <c r="BI160">
        <v>1</v>
      </c>
      <c r="BJ160" t="s">
        <v>322</v>
      </c>
      <c r="BK160" t="s">
        <v>760</v>
      </c>
      <c r="BL160" t="s">
        <v>755</v>
      </c>
      <c r="BM160" t="s">
        <v>757</v>
      </c>
      <c r="BN160" t="str">
        <f t="shared" si="19"/>
        <v>WT_HM</v>
      </c>
      <c r="BO160" t="s">
        <v>267</v>
      </c>
      <c r="BQ160">
        <v>10</v>
      </c>
      <c r="BR160">
        <v>10</v>
      </c>
      <c r="BS160" s="35">
        <v>128.59259259999999</v>
      </c>
      <c r="BT160" s="35">
        <v>12.44444444</v>
      </c>
      <c r="BU160" s="35">
        <v>39.352788660000002</v>
      </c>
      <c r="BV160" s="35"/>
      <c r="BW160" s="35">
        <v>117.6296296</v>
      </c>
      <c r="BX160" s="35">
        <v>10.66666667</v>
      </c>
      <c r="BY160" s="35">
        <v>33.730961710000003</v>
      </c>
      <c r="CB160" t="s">
        <v>268</v>
      </c>
      <c r="CD160" t="s">
        <v>268</v>
      </c>
      <c r="CE160" t="s">
        <v>191</v>
      </c>
      <c r="CF160" t="s">
        <v>309</v>
      </c>
      <c r="CG160" t="s">
        <v>268</v>
      </c>
      <c r="CI160" t="s">
        <v>268</v>
      </c>
      <c r="CK160" s="30">
        <f t="shared" si="11"/>
        <v>1</v>
      </c>
      <c r="CL160">
        <f t="shared" si="12"/>
        <v>2</v>
      </c>
    </row>
    <row r="161" spans="1:90" hidden="1" x14ac:dyDescent="0.35">
      <c r="A161" t="s">
        <v>776</v>
      </c>
      <c r="B161" t="s">
        <v>747</v>
      </c>
      <c r="C161" t="s">
        <v>300</v>
      </c>
      <c r="D161" t="s">
        <v>748</v>
      </c>
      <c r="E161" t="s">
        <v>749</v>
      </c>
      <c r="F161">
        <v>2024</v>
      </c>
      <c r="G161" t="s">
        <v>175</v>
      </c>
      <c r="I161" t="s">
        <v>333</v>
      </c>
      <c r="K161" t="s">
        <v>180</v>
      </c>
      <c r="L161" t="s">
        <v>181</v>
      </c>
      <c r="M161" t="s">
        <v>509</v>
      </c>
      <c r="N161" t="s">
        <v>179</v>
      </c>
      <c r="O161" t="s">
        <v>186</v>
      </c>
      <c r="P161" t="s">
        <v>750</v>
      </c>
      <c r="Q161" t="s">
        <v>187</v>
      </c>
      <c r="S161" t="s">
        <v>194</v>
      </c>
      <c r="U161" t="s">
        <v>1117</v>
      </c>
      <c r="V161" t="s">
        <v>268</v>
      </c>
      <c r="X161" t="s">
        <v>269</v>
      </c>
      <c r="AE161" t="s">
        <v>273</v>
      </c>
      <c r="AG161" t="s">
        <v>275</v>
      </c>
      <c r="AI161" t="s">
        <v>345</v>
      </c>
      <c r="AK161">
        <v>6</v>
      </c>
      <c r="AM161">
        <v>7</v>
      </c>
      <c r="AO161" t="s">
        <v>1104</v>
      </c>
      <c r="AP161" t="s">
        <v>281</v>
      </c>
      <c r="AQ161" t="s">
        <v>751</v>
      </c>
      <c r="AS161" t="s">
        <v>1096</v>
      </c>
      <c r="AT161" t="s">
        <v>191</v>
      </c>
      <c r="AU161" t="s">
        <v>191</v>
      </c>
      <c r="AV161" s="30">
        <v>0</v>
      </c>
      <c r="AW161" t="s">
        <v>287</v>
      </c>
      <c r="AX161" t="s">
        <v>191</v>
      </c>
      <c r="AZ161" t="s">
        <v>829</v>
      </c>
      <c r="BA161">
        <v>0</v>
      </c>
      <c r="BB161" t="s">
        <v>290</v>
      </c>
      <c r="BC161" t="s">
        <v>761</v>
      </c>
      <c r="BE161" t="s">
        <v>762</v>
      </c>
      <c r="BF161" t="s">
        <v>389</v>
      </c>
      <c r="BG161" t="s">
        <v>300</v>
      </c>
      <c r="BH161" t="s">
        <v>191</v>
      </c>
      <c r="BI161">
        <v>1</v>
      </c>
      <c r="BJ161" t="s">
        <v>354</v>
      </c>
      <c r="BK161" t="s">
        <v>763</v>
      </c>
      <c r="BL161" t="s">
        <v>755</v>
      </c>
      <c r="BM161" t="s">
        <v>756</v>
      </c>
      <c r="BN161" t="str">
        <f t="shared" ref="BN161:BN162" si="20">_xlfn.CONCAT(BL161:BM161)</f>
        <v>WT_HH</v>
      </c>
      <c r="BO161" t="s">
        <v>267</v>
      </c>
      <c r="BQ161">
        <v>10</v>
      </c>
      <c r="BR161">
        <v>10</v>
      </c>
      <c r="BS161" s="35">
        <v>1.7097532310000001</v>
      </c>
      <c r="BT161" s="35">
        <v>0.58754406599999998</v>
      </c>
      <c r="BU161" s="35">
        <v>1.8579774739999999</v>
      </c>
      <c r="BV161" s="35"/>
      <c r="BW161" s="35">
        <v>1.210340776</v>
      </c>
      <c r="BX161" s="35">
        <v>0.48178613399999998</v>
      </c>
      <c r="BY161" s="35">
        <v>1.523541528</v>
      </c>
      <c r="CB161" t="s">
        <v>268</v>
      </c>
      <c r="CD161" t="s">
        <v>268</v>
      </c>
      <c r="CE161" t="s">
        <v>191</v>
      </c>
      <c r="CF161" t="s">
        <v>309</v>
      </c>
      <c r="CG161" t="s">
        <v>268</v>
      </c>
      <c r="CI161" t="s">
        <v>268</v>
      </c>
      <c r="CK161" s="30">
        <f t="shared" si="11"/>
        <v>1</v>
      </c>
      <c r="CL161">
        <f t="shared" si="12"/>
        <v>2</v>
      </c>
    </row>
    <row r="162" spans="1:90" hidden="1" x14ac:dyDescent="0.35">
      <c r="A162" t="s">
        <v>777</v>
      </c>
      <c r="B162" t="s">
        <v>747</v>
      </c>
      <c r="C162" t="s">
        <v>300</v>
      </c>
      <c r="D162" t="s">
        <v>748</v>
      </c>
      <c r="E162" t="s">
        <v>749</v>
      </c>
      <c r="F162">
        <v>2024</v>
      </c>
      <c r="G162" t="s">
        <v>344</v>
      </c>
      <c r="I162" t="s">
        <v>333</v>
      </c>
      <c r="K162" t="s">
        <v>180</v>
      </c>
      <c r="L162" t="s">
        <v>181</v>
      </c>
      <c r="M162" t="s">
        <v>509</v>
      </c>
      <c r="N162" t="s">
        <v>179</v>
      </c>
      <c r="O162" t="s">
        <v>186</v>
      </c>
      <c r="P162" t="s">
        <v>750</v>
      </c>
      <c r="Q162" t="s">
        <v>187</v>
      </c>
      <c r="S162" t="s">
        <v>194</v>
      </c>
      <c r="U162" t="s">
        <v>1117</v>
      </c>
      <c r="V162" t="s">
        <v>268</v>
      </c>
      <c r="X162" t="s">
        <v>269</v>
      </c>
      <c r="AE162" t="s">
        <v>273</v>
      </c>
      <c r="AG162" t="s">
        <v>275</v>
      </c>
      <c r="AI162" t="s">
        <v>345</v>
      </c>
      <c r="AK162">
        <v>6</v>
      </c>
      <c r="AM162">
        <v>7</v>
      </c>
      <c r="AO162" t="s">
        <v>1104</v>
      </c>
      <c r="AP162" t="s">
        <v>281</v>
      </c>
      <c r="AQ162" t="s">
        <v>752</v>
      </c>
      <c r="AS162" t="s">
        <v>1096</v>
      </c>
      <c r="AT162" t="s">
        <v>191</v>
      </c>
      <c r="AU162" t="s">
        <v>191</v>
      </c>
      <c r="AV162" s="30">
        <v>0</v>
      </c>
      <c r="AW162" t="s">
        <v>287</v>
      </c>
      <c r="AX162" t="s">
        <v>191</v>
      </c>
      <c r="AZ162" t="s">
        <v>829</v>
      </c>
      <c r="BA162">
        <v>0</v>
      </c>
      <c r="BB162" t="s">
        <v>290</v>
      </c>
      <c r="BC162" t="s">
        <v>761</v>
      </c>
      <c r="BE162" t="s">
        <v>762</v>
      </c>
      <c r="BF162" t="s">
        <v>389</v>
      </c>
      <c r="BG162" t="s">
        <v>300</v>
      </c>
      <c r="BH162" t="s">
        <v>191</v>
      </c>
      <c r="BI162">
        <v>1</v>
      </c>
      <c r="BJ162" t="s">
        <v>354</v>
      </c>
      <c r="BK162" t="s">
        <v>763</v>
      </c>
      <c r="BL162" t="s">
        <v>755</v>
      </c>
      <c r="BM162" t="s">
        <v>757</v>
      </c>
      <c r="BN162" t="str">
        <f t="shared" si="20"/>
        <v>WT_HM</v>
      </c>
      <c r="BO162" t="s">
        <v>267</v>
      </c>
      <c r="BQ162">
        <v>10</v>
      </c>
      <c r="BR162">
        <v>10</v>
      </c>
      <c r="BS162" s="35">
        <v>1.7097532310000001</v>
      </c>
      <c r="BT162" s="35">
        <v>0.58754406599999998</v>
      </c>
      <c r="BU162" s="35">
        <v>1.8579774739999999</v>
      </c>
      <c r="BV162" s="35"/>
      <c r="BW162" s="35">
        <v>2.097532315</v>
      </c>
      <c r="BX162" s="35">
        <v>0.36427732099999999</v>
      </c>
      <c r="BY162" s="35">
        <v>1.1519460340000001</v>
      </c>
      <c r="CB162" t="s">
        <v>268</v>
      </c>
      <c r="CD162" t="s">
        <v>268</v>
      </c>
      <c r="CE162" t="s">
        <v>191</v>
      </c>
      <c r="CF162" t="s">
        <v>309</v>
      </c>
      <c r="CG162" t="s">
        <v>268</v>
      </c>
      <c r="CI162" t="s">
        <v>268</v>
      </c>
      <c r="CK162" s="30">
        <f t="shared" si="11"/>
        <v>1</v>
      </c>
      <c r="CL162">
        <f t="shared" si="12"/>
        <v>2</v>
      </c>
    </row>
    <row r="163" spans="1:90" hidden="1" x14ac:dyDescent="0.35">
      <c r="A163" t="s">
        <v>778</v>
      </c>
      <c r="B163" t="s">
        <v>747</v>
      </c>
      <c r="C163" t="s">
        <v>300</v>
      </c>
      <c r="D163" t="s">
        <v>748</v>
      </c>
      <c r="E163" t="s">
        <v>749</v>
      </c>
      <c r="F163">
        <v>2024</v>
      </c>
      <c r="G163" t="s">
        <v>175</v>
      </c>
      <c r="I163" t="s">
        <v>826</v>
      </c>
      <c r="K163" t="s">
        <v>180</v>
      </c>
      <c r="L163" t="s">
        <v>181</v>
      </c>
      <c r="M163" t="s">
        <v>509</v>
      </c>
      <c r="N163" t="s">
        <v>179</v>
      </c>
      <c r="O163" t="s">
        <v>186</v>
      </c>
      <c r="P163" t="s">
        <v>750</v>
      </c>
      <c r="Q163" t="s">
        <v>187</v>
      </c>
      <c r="S163" t="s">
        <v>194</v>
      </c>
      <c r="U163" t="s">
        <v>1117</v>
      </c>
      <c r="V163" t="s">
        <v>268</v>
      </c>
      <c r="X163" t="s">
        <v>269</v>
      </c>
      <c r="AE163" t="s">
        <v>273</v>
      </c>
      <c r="AG163" t="s">
        <v>275</v>
      </c>
      <c r="AI163" t="s">
        <v>345</v>
      </c>
      <c r="AK163">
        <v>6</v>
      </c>
      <c r="AM163">
        <v>7</v>
      </c>
      <c r="AO163" t="s">
        <v>1104</v>
      </c>
      <c r="AP163" t="s">
        <v>281</v>
      </c>
      <c r="AQ163" t="s">
        <v>751</v>
      </c>
      <c r="AS163" t="s">
        <v>1096</v>
      </c>
      <c r="AT163" t="s">
        <v>191</v>
      </c>
      <c r="AU163" t="s">
        <v>191</v>
      </c>
      <c r="AV163" s="30">
        <v>0</v>
      </c>
      <c r="AW163" t="s">
        <v>287</v>
      </c>
      <c r="AX163" t="s">
        <v>191</v>
      </c>
      <c r="AZ163" t="s">
        <v>829</v>
      </c>
      <c r="BA163">
        <v>0</v>
      </c>
      <c r="BB163" t="s">
        <v>289</v>
      </c>
      <c r="BC163" t="s">
        <v>239</v>
      </c>
      <c r="BE163" t="s">
        <v>336</v>
      </c>
      <c r="BF163" t="s">
        <v>291</v>
      </c>
      <c r="BG163" t="s">
        <v>297</v>
      </c>
      <c r="BH163" t="s">
        <v>191</v>
      </c>
      <c r="BI163">
        <v>1</v>
      </c>
      <c r="BJ163" t="s">
        <v>498</v>
      </c>
      <c r="BK163" t="s">
        <v>764</v>
      </c>
      <c r="BL163" t="s">
        <v>755</v>
      </c>
      <c r="BM163" t="s">
        <v>756</v>
      </c>
      <c r="BN163" t="str">
        <f t="shared" ref="BN163:BN164" si="21">_xlfn.CONCAT(BL163:BM163)</f>
        <v>WT_HH</v>
      </c>
      <c r="BO163" t="s">
        <v>267</v>
      </c>
      <c r="BQ163">
        <v>10</v>
      </c>
      <c r="BR163">
        <v>10</v>
      </c>
      <c r="BS163" s="35">
        <v>2.7406199020000002</v>
      </c>
      <c r="BT163" s="35">
        <v>1.566068515</v>
      </c>
      <c r="BU163" s="35">
        <v>4.9523434809999998</v>
      </c>
      <c r="BV163" s="35"/>
      <c r="BW163" s="35">
        <v>11.353996739999999</v>
      </c>
      <c r="BX163" s="35">
        <v>3.39314845</v>
      </c>
      <c r="BY163" s="35">
        <v>10.73007754</v>
      </c>
      <c r="CB163" t="s">
        <v>268</v>
      </c>
      <c r="CD163" t="s">
        <v>268</v>
      </c>
      <c r="CE163" t="s">
        <v>191</v>
      </c>
      <c r="CF163" t="s">
        <v>309</v>
      </c>
      <c r="CG163" t="s">
        <v>268</v>
      </c>
      <c r="CI163" t="s">
        <v>268</v>
      </c>
      <c r="CK163" s="30">
        <f t="shared" si="11"/>
        <v>1</v>
      </c>
      <c r="CL163">
        <f t="shared" si="12"/>
        <v>2</v>
      </c>
    </row>
    <row r="164" spans="1:90" hidden="1" x14ac:dyDescent="0.35">
      <c r="A164" t="s">
        <v>779</v>
      </c>
      <c r="B164" t="s">
        <v>747</v>
      </c>
      <c r="C164" t="s">
        <v>300</v>
      </c>
      <c r="D164" t="s">
        <v>748</v>
      </c>
      <c r="E164" t="s">
        <v>749</v>
      </c>
      <c r="F164">
        <v>2024</v>
      </c>
      <c r="G164" t="s">
        <v>344</v>
      </c>
      <c r="I164" t="s">
        <v>334</v>
      </c>
      <c r="K164" t="s">
        <v>180</v>
      </c>
      <c r="L164" t="s">
        <v>181</v>
      </c>
      <c r="M164" t="s">
        <v>509</v>
      </c>
      <c r="N164" t="s">
        <v>179</v>
      </c>
      <c r="O164" t="s">
        <v>186</v>
      </c>
      <c r="P164" t="s">
        <v>750</v>
      </c>
      <c r="Q164" t="s">
        <v>187</v>
      </c>
      <c r="S164" t="s">
        <v>194</v>
      </c>
      <c r="U164" t="s">
        <v>1117</v>
      </c>
      <c r="V164" t="s">
        <v>268</v>
      </c>
      <c r="X164" t="s">
        <v>269</v>
      </c>
      <c r="AE164" t="s">
        <v>273</v>
      </c>
      <c r="AG164" t="s">
        <v>275</v>
      </c>
      <c r="AI164" t="s">
        <v>345</v>
      </c>
      <c r="AK164">
        <v>6</v>
      </c>
      <c r="AM164">
        <v>7</v>
      </c>
      <c r="AO164" t="s">
        <v>1104</v>
      </c>
      <c r="AP164" t="s">
        <v>281</v>
      </c>
      <c r="AQ164" t="s">
        <v>752</v>
      </c>
      <c r="AS164" t="s">
        <v>1096</v>
      </c>
      <c r="AT164" t="s">
        <v>191</v>
      </c>
      <c r="AU164" t="s">
        <v>191</v>
      </c>
      <c r="AV164" s="30">
        <v>0</v>
      </c>
      <c r="AW164" t="s">
        <v>287</v>
      </c>
      <c r="AX164" t="s">
        <v>191</v>
      </c>
      <c r="AZ164" t="s">
        <v>829</v>
      </c>
      <c r="BA164">
        <v>0</v>
      </c>
      <c r="BB164" t="s">
        <v>289</v>
      </c>
      <c r="BC164" t="s">
        <v>239</v>
      </c>
      <c r="BE164" t="s">
        <v>336</v>
      </c>
      <c r="BF164" t="s">
        <v>291</v>
      </c>
      <c r="BG164" t="s">
        <v>297</v>
      </c>
      <c r="BH164" t="s">
        <v>191</v>
      </c>
      <c r="BI164">
        <v>1</v>
      </c>
      <c r="BJ164" t="s">
        <v>498</v>
      </c>
      <c r="BK164" t="s">
        <v>764</v>
      </c>
      <c r="BL164" t="s">
        <v>755</v>
      </c>
      <c r="BM164" t="s">
        <v>757</v>
      </c>
      <c r="BN164" t="str">
        <f t="shared" si="21"/>
        <v>WT_HM</v>
      </c>
      <c r="BO164" t="s">
        <v>267</v>
      </c>
      <c r="BQ164">
        <v>10</v>
      </c>
      <c r="BR164">
        <v>10</v>
      </c>
      <c r="BS164" s="35">
        <v>2.7406199020000002</v>
      </c>
      <c r="BT164" s="35">
        <v>1.566068515</v>
      </c>
      <c r="BU164" s="35">
        <v>4.9523434809999998</v>
      </c>
      <c r="BV164" s="35"/>
      <c r="BW164" s="35">
        <v>29.755301790000001</v>
      </c>
      <c r="BX164" s="35">
        <v>7.1778140290000003</v>
      </c>
      <c r="BY164" s="35">
        <v>22.698240949999999</v>
      </c>
      <c r="CB164" t="s">
        <v>268</v>
      </c>
      <c r="CD164" t="s">
        <v>268</v>
      </c>
      <c r="CE164" t="s">
        <v>191</v>
      </c>
      <c r="CF164" t="s">
        <v>309</v>
      </c>
      <c r="CG164" t="s">
        <v>268</v>
      </c>
      <c r="CI164" t="s">
        <v>268</v>
      </c>
      <c r="CK164" s="30">
        <f t="shared" si="11"/>
        <v>1</v>
      </c>
      <c r="CL164">
        <f t="shared" si="12"/>
        <v>2</v>
      </c>
    </row>
    <row r="165" spans="1:90" hidden="1" x14ac:dyDescent="0.35">
      <c r="A165" t="s">
        <v>780</v>
      </c>
      <c r="B165" t="s">
        <v>747</v>
      </c>
      <c r="C165" t="s">
        <v>300</v>
      </c>
      <c r="D165" t="s">
        <v>748</v>
      </c>
      <c r="E165" t="s">
        <v>749</v>
      </c>
      <c r="F165">
        <v>2024</v>
      </c>
      <c r="G165" t="s">
        <v>175</v>
      </c>
      <c r="I165" t="s">
        <v>335</v>
      </c>
      <c r="K165" t="s">
        <v>180</v>
      </c>
      <c r="L165" t="s">
        <v>181</v>
      </c>
      <c r="M165" t="s">
        <v>509</v>
      </c>
      <c r="N165" t="s">
        <v>179</v>
      </c>
      <c r="O165" t="s">
        <v>186</v>
      </c>
      <c r="P165" t="s">
        <v>750</v>
      </c>
      <c r="Q165" t="s">
        <v>187</v>
      </c>
      <c r="S165" t="s">
        <v>194</v>
      </c>
      <c r="U165" t="s">
        <v>1117</v>
      </c>
      <c r="V165" t="s">
        <v>268</v>
      </c>
      <c r="X165" t="s">
        <v>269</v>
      </c>
      <c r="AE165" t="s">
        <v>273</v>
      </c>
      <c r="AG165" t="s">
        <v>275</v>
      </c>
      <c r="AI165" t="s">
        <v>345</v>
      </c>
      <c r="AK165">
        <v>6</v>
      </c>
      <c r="AM165">
        <v>7</v>
      </c>
      <c r="AO165" t="s">
        <v>1104</v>
      </c>
      <c r="AP165" t="s">
        <v>281</v>
      </c>
      <c r="AQ165" t="s">
        <v>751</v>
      </c>
      <c r="AS165" t="s">
        <v>1096</v>
      </c>
      <c r="AT165" t="s">
        <v>191</v>
      </c>
      <c r="AU165" t="s">
        <v>191</v>
      </c>
      <c r="AV165" s="30">
        <v>0</v>
      </c>
      <c r="AW165" t="s">
        <v>287</v>
      </c>
      <c r="AX165" t="s">
        <v>191</v>
      </c>
      <c r="AZ165" t="s">
        <v>829</v>
      </c>
      <c r="BA165">
        <v>0</v>
      </c>
      <c r="BB165" t="s">
        <v>289</v>
      </c>
      <c r="BC165" t="s">
        <v>239</v>
      </c>
      <c r="BE165" t="s">
        <v>765</v>
      </c>
      <c r="BF165" t="s">
        <v>293</v>
      </c>
      <c r="BG165" t="s">
        <v>516</v>
      </c>
      <c r="BH165" t="s">
        <v>191</v>
      </c>
      <c r="BI165">
        <v>1</v>
      </c>
      <c r="BJ165" t="s">
        <v>498</v>
      </c>
      <c r="BK165" t="s">
        <v>766</v>
      </c>
      <c r="BL165" t="s">
        <v>755</v>
      </c>
      <c r="BM165" t="s">
        <v>756</v>
      </c>
      <c r="BN165" t="str">
        <f t="shared" ref="BN165:BN166" si="22">_xlfn.CONCAT(BL165:BM165)</f>
        <v>WT_HH</v>
      </c>
      <c r="BO165" t="s">
        <v>267</v>
      </c>
      <c r="BQ165">
        <v>10</v>
      </c>
      <c r="BR165">
        <v>10</v>
      </c>
      <c r="BS165" s="35">
        <v>18.23708207</v>
      </c>
      <c r="BT165" s="35">
        <v>0</v>
      </c>
      <c r="BU165" s="35">
        <v>0</v>
      </c>
      <c r="BV165" s="35"/>
      <c r="BW165" s="35">
        <v>194.5288754</v>
      </c>
      <c r="BX165" s="35">
        <v>69.908814590000006</v>
      </c>
      <c r="BY165" s="35">
        <v>221.07108260000001</v>
      </c>
      <c r="CB165" t="s">
        <v>268</v>
      </c>
      <c r="CD165" t="s">
        <v>268</v>
      </c>
      <c r="CE165" t="s">
        <v>191</v>
      </c>
      <c r="CF165" t="s">
        <v>309</v>
      </c>
      <c r="CG165" t="s">
        <v>268</v>
      </c>
      <c r="CI165" t="s">
        <v>268</v>
      </c>
      <c r="CK165" s="30">
        <f t="shared" si="11"/>
        <v>1</v>
      </c>
      <c r="CL165">
        <f t="shared" si="12"/>
        <v>2</v>
      </c>
    </row>
    <row r="166" spans="1:90" hidden="1" x14ac:dyDescent="0.35">
      <c r="A166" t="s">
        <v>781</v>
      </c>
      <c r="B166" t="s">
        <v>747</v>
      </c>
      <c r="C166" t="s">
        <v>300</v>
      </c>
      <c r="D166" t="s">
        <v>748</v>
      </c>
      <c r="E166" t="s">
        <v>749</v>
      </c>
      <c r="F166">
        <v>2024</v>
      </c>
      <c r="G166" t="s">
        <v>344</v>
      </c>
      <c r="I166" t="s">
        <v>335</v>
      </c>
      <c r="K166" t="s">
        <v>180</v>
      </c>
      <c r="L166" t="s">
        <v>181</v>
      </c>
      <c r="M166" t="s">
        <v>509</v>
      </c>
      <c r="N166" t="s">
        <v>179</v>
      </c>
      <c r="O166" t="s">
        <v>186</v>
      </c>
      <c r="P166" t="s">
        <v>750</v>
      </c>
      <c r="Q166" t="s">
        <v>187</v>
      </c>
      <c r="S166" t="s">
        <v>194</v>
      </c>
      <c r="U166" t="s">
        <v>1117</v>
      </c>
      <c r="V166" t="s">
        <v>268</v>
      </c>
      <c r="X166" t="s">
        <v>269</v>
      </c>
      <c r="AE166" t="s">
        <v>273</v>
      </c>
      <c r="AG166" t="s">
        <v>275</v>
      </c>
      <c r="AI166" t="s">
        <v>345</v>
      </c>
      <c r="AK166">
        <v>6</v>
      </c>
      <c r="AM166">
        <v>7</v>
      </c>
      <c r="AO166" t="s">
        <v>1104</v>
      </c>
      <c r="AP166" t="s">
        <v>281</v>
      </c>
      <c r="AQ166" t="s">
        <v>752</v>
      </c>
      <c r="AS166" t="s">
        <v>1096</v>
      </c>
      <c r="AT166" t="s">
        <v>191</v>
      </c>
      <c r="AU166" t="s">
        <v>191</v>
      </c>
      <c r="AV166" s="30">
        <v>0</v>
      </c>
      <c r="AW166" t="s">
        <v>287</v>
      </c>
      <c r="AX166" t="s">
        <v>191</v>
      </c>
      <c r="AZ166" t="s">
        <v>829</v>
      </c>
      <c r="BA166">
        <v>0</v>
      </c>
      <c r="BB166" t="s">
        <v>289</v>
      </c>
      <c r="BC166" t="s">
        <v>239</v>
      </c>
      <c r="BE166" t="s">
        <v>765</v>
      </c>
      <c r="BF166" t="s">
        <v>293</v>
      </c>
      <c r="BG166" t="s">
        <v>516</v>
      </c>
      <c r="BH166" t="s">
        <v>191</v>
      </c>
      <c r="BI166">
        <v>1</v>
      </c>
      <c r="BJ166" t="s">
        <v>498</v>
      </c>
      <c r="BK166" t="s">
        <v>766</v>
      </c>
      <c r="BL166" t="s">
        <v>755</v>
      </c>
      <c r="BM166" t="s">
        <v>757</v>
      </c>
      <c r="BN166" t="str">
        <f t="shared" si="22"/>
        <v>WT_HM</v>
      </c>
      <c r="BO166" t="s">
        <v>267</v>
      </c>
      <c r="BQ166">
        <v>10</v>
      </c>
      <c r="BR166">
        <v>10</v>
      </c>
      <c r="BS166" s="35">
        <v>18.23708207</v>
      </c>
      <c r="BT166" s="35">
        <v>0</v>
      </c>
      <c r="BU166" s="35">
        <v>0</v>
      </c>
      <c r="BV166" s="35"/>
      <c r="BW166" s="35">
        <v>489.3617021</v>
      </c>
      <c r="BX166" s="35">
        <v>151.97568390000001</v>
      </c>
      <c r="BY166" s="35">
        <v>480.58931009999998</v>
      </c>
      <c r="CB166" t="s">
        <v>268</v>
      </c>
      <c r="CD166" t="s">
        <v>268</v>
      </c>
      <c r="CE166" t="s">
        <v>191</v>
      </c>
      <c r="CF166" t="s">
        <v>309</v>
      </c>
      <c r="CG166" t="s">
        <v>268</v>
      </c>
      <c r="CI166" t="s">
        <v>268</v>
      </c>
      <c r="CK166" s="30">
        <f t="shared" si="11"/>
        <v>1</v>
      </c>
      <c r="CL166">
        <f t="shared" si="12"/>
        <v>2</v>
      </c>
    </row>
    <row r="167" spans="1:90" hidden="1" x14ac:dyDescent="0.35">
      <c r="A167" t="s">
        <v>782</v>
      </c>
      <c r="B167" t="s">
        <v>747</v>
      </c>
      <c r="C167" t="s">
        <v>300</v>
      </c>
      <c r="D167" t="s">
        <v>748</v>
      </c>
      <c r="E167" t="s">
        <v>749</v>
      </c>
      <c r="F167">
        <v>2024</v>
      </c>
      <c r="G167" t="s">
        <v>175</v>
      </c>
      <c r="I167" t="s">
        <v>491</v>
      </c>
      <c r="K167" t="s">
        <v>180</v>
      </c>
      <c r="L167" t="s">
        <v>181</v>
      </c>
      <c r="M167" t="s">
        <v>509</v>
      </c>
      <c r="N167" t="s">
        <v>179</v>
      </c>
      <c r="O167" t="s">
        <v>186</v>
      </c>
      <c r="P167" t="s">
        <v>750</v>
      </c>
      <c r="Q167" t="s">
        <v>187</v>
      </c>
      <c r="S167" t="s">
        <v>194</v>
      </c>
      <c r="U167" t="s">
        <v>1117</v>
      </c>
      <c r="V167" t="s">
        <v>268</v>
      </c>
      <c r="X167" t="s">
        <v>269</v>
      </c>
      <c r="AE167" t="s">
        <v>273</v>
      </c>
      <c r="AG167" t="s">
        <v>275</v>
      </c>
      <c r="AI167" t="s">
        <v>345</v>
      </c>
      <c r="AK167">
        <v>6</v>
      </c>
      <c r="AM167">
        <v>7</v>
      </c>
      <c r="AO167" t="s">
        <v>1104</v>
      </c>
      <c r="AP167" t="s">
        <v>281</v>
      </c>
      <c r="AQ167" t="s">
        <v>751</v>
      </c>
      <c r="AS167" t="s">
        <v>1096</v>
      </c>
      <c r="AT167" t="s">
        <v>191</v>
      </c>
      <c r="AU167" t="s">
        <v>191</v>
      </c>
      <c r="AV167" s="30">
        <v>0</v>
      </c>
      <c r="AW167" t="s">
        <v>287</v>
      </c>
      <c r="AX167" t="s">
        <v>191</v>
      </c>
      <c r="AZ167" t="s">
        <v>829</v>
      </c>
      <c r="BA167">
        <v>0</v>
      </c>
      <c r="BB167" t="s">
        <v>289</v>
      </c>
      <c r="BC167" t="s">
        <v>243</v>
      </c>
      <c r="BE167" t="s">
        <v>398</v>
      </c>
      <c r="BF167" t="s">
        <v>291</v>
      </c>
      <c r="BG167" t="s">
        <v>297</v>
      </c>
      <c r="BH167" t="s">
        <v>191</v>
      </c>
      <c r="BI167">
        <v>1</v>
      </c>
      <c r="BJ167" t="s">
        <v>767</v>
      </c>
      <c r="BK167" t="s">
        <v>768</v>
      </c>
      <c r="BL167" t="s">
        <v>755</v>
      </c>
      <c r="BM167" t="s">
        <v>756</v>
      </c>
      <c r="BN167" t="str">
        <f t="shared" ref="BN167:BN168" si="23">_xlfn.CONCAT(BL167:BM167)</f>
        <v>WT_HH</v>
      </c>
      <c r="BO167" t="s">
        <v>267</v>
      </c>
      <c r="BQ167">
        <v>10</v>
      </c>
      <c r="BR167">
        <v>10</v>
      </c>
      <c r="BS167" s="35">
        <v>34.112149530000003</v>
      </c>
      <c r="BT167" s="35">
        <v>4.0498442370000003</v>
      </c>
      <c r="BU167" s="35">
        <v>12.80673196</v>
      </c>
      <c r="BV167" s="35"/>
      <c r="BW167" s="35">
        <v>39.875389409999997</v>
      </c>
      <c r="BX167" s="35">
        <v>4.8286604359999998</v>
      </c>
      <c r="BY167" s="35">
        <v>15.269565030000001</v>
      </c>
      <c r="CB167" t="s">
        <v>268</v>
      </c>
      <c r="CD167" t="s">
        <v>268</v>
      </c>
      <c r="CE167" t="s">
        <v>191</v>
      </c>
      <c r="CF167" t="s">
        <v>309</v>
      </c>
      <c r="CG167" t="s">
        <v>268</v>
      </c>
      <c r="CI167" t="s">
        <v>268</v>
      </c>
      <c r="CK167" s="30">
        <f t="shared" si="11"/>
        <v>1</v>
      </c>
      <c r="CL167">
        <f t="shared" si="12"/>
        <v>2</v>
      </c>
    </row>
    <row r="168" spans="1:90" hidden="1" x14ac:dyDescent="0.35">
      <c r="A168" t="s">
        <v>783</v>
      </c>
      <c r="B168" t="s">
        <v>747</v>
      </c>
      <c r="C168" t="s">
        <v>300</v>
      </c>
      <c r="D168" t="s">
        <v>748</v>
      </c>
      <c r="E168" t="s">
        <v>749</v>
      </c>
      <c r="F168">
        <v>2024</v>
      </c>
      <c r="G168" t="s">
        <v>344</v>
      </c>
      <c r="I168" t="s">
        <v>491</v>
      </c>
      <c r="K168" t="s">
        <v>180</v>
      </c>
      <c r="L168" t="s">
        <v>181</v>
      </c>
      <c r="M168" t="s">
        <v>509</v>
      </c>
      <c r="N168" t="s">
        <v>179</v>
      </c>
      <c r="O168" t="s">
        <v>186</v>
      </c>
      <c r="P168" t="s">
        <v>750</v>
      </c>
      <c r="Q168" t="s">
        <v>187</v>
      </c>
      <c r="S168" t="s">
        <v>194</v>
      </c>
      <c r="U168" t="s">
        <v>1117</v>
      </c>
      <c r="V168" t="s">
        <v>268</v>
      </c>
      <c r="X168" t="s">
        <v>269</v>
      </c>
      <c r="AE168" t="s">
        <v>273</v>
      </c>
      <c r="AG168" t="s">
        <v>275</v>
      </c>
      <c r="AI168" t="s">
        <v>345</v>
      </c>
      <c r="AK168">
        <v>6</v>
      </c>
      <c r="AM168">
        <v>7</v>
      </c>
      <c r="AO168" t="s">
        <v>1104</v>
      </c>
      <c r="AP168" t="s">
        <v>281</v>
      </c>
      <c r="AQ168" t="s">
        <v>752</v>
      </c>
      <c r="AS168" t="s">
        <v>1096</v>
      </c>
      <c r="AT168" t="s">
        <v>191</v>
      </c>
      <c r="AU168" t="s">
        <v>191</v>
      </c>
      <c r="AV168" s="30">
        <v>0</v>
      </c>
      <c r="AW168" t="s">
        <v>287</v>
      </c>
      <c r="AX168" t="s">
        <v>191</v>
      </c>
      <c r="AZ168" t="s">
        <v>829</v>
      </c>
      <c r="BA168">
        <v>0</v>
      </c>
      <c r="BB168" t="s">
        <v>289</v>
      </c>
      <c r="BC168" t="s">
        <v>243</v>
      </c>
      <c r="BE168" t="s">
        <v>398</v>
      </c>
      <c r="BF168" t="s">
        <v>291</v>
      </c>
      <c r="BG168" t="s">
        <v>297</v>
      </c>
      <c r="BH168" t="s">
        <v>191</v>
      </c>
      <c r="BI168">
        <v>1</v>
      </c>
      <c r="BJ168" t="s">
        <v>767</v>
      </c>
      <c r="BK168" t="s">
        <v>768</v>
      </c>
      <c r="BL168" t="s">
        <v>755</v>
      </c>
      <c r="BM168" t="s">
        <v>757</v>
      </c>
      <c r="BN168" t="str">
        <f t="shared" si="23"/>
        <v>WT_HM</v>
      </c>
      <c r="BO168" t="s">
        <v>267</v>
      </c>
      <c r="BQ168">
        <v>10</v>
      </c>
      <c r="BR168">
        <v>10</v>
      </c>
      <c r="BS168" s="35">
        <v>34.112149530000003</v>
      </c>
      <c r="BT168" s="35">
        <v>4.0498442370000003</v>
      </c>
      <c r="BU168" s="35">
        <v>12.80673196</v>
      </c>
      <c r="BV168" s="35"/>
      <c r="BW168" s="35">
        <v>49.688473520000002</v>
      </c>
      <c r="BX168" s="35">
        <v>7.1651090340000003</v>
      </c>
      <c r="BY168" s="35">
        <v>22.658064230000001</v>
      </c>
      <c r="CB168" t="s">
        <v>268</v>
      </c>
      <c r="CD168" t="s">
        <v>268</v>
      </c>
      <c r="CE168" t="s">
        <v>191</v>
      </c>
      <c r="CF168" t="s">
        <v>309</v>
      </c>
      <c r="CG168" t="s">
        <v>268</v>
      </c>
      <c r="CI168" t="s">
        <v>268</v>
      </c>
      <c r="CK168" s="30">
        <f t="shared" si="11"/>
        <v>1</v>
      </c>
      <c r="CL168">
        <f t="shared" si="12"/>
        <v>2</v>
      </c>
    </row>
    <row r="169" spans="1:90" hidden="1" x14ac:dyDescent="0.35">
      <c r="A169" t="s">
        <v>784</v>
      </c>
      <c r="B169" t="s">
        <v>747</v>
      </c>
      <c r="C169" t="s">
        <v>300</v>
      </c>
      <c r="D169" t="s">
        <v>748</v>
      </c>
      <c r="E169" t="s">
        <v>749</v>
      </c>
      <c r="F169">
        <v>2024</v>
      </c>
      <c r="G169" t="s">
        <v>175</v>
      </c>
      <c r="I169" t="s">
        <v>492</v>
      </c>
      <c r="K169" t="s">
        <v>180</v>
      </c>
      <c r="L169" t="s">
        <v>181</v>
      </c>
      <c r="M169" t="s">
        <v>509</v>
      </c>
      <c r="N169" t="s">
        <v>179</v>
      </c>
      <c r="O169" t="s">
        <v>186</v>
      </c>
      <c r="P169" t="s">
        <v>750</v>
      </c>
      <c r="Q169" t="s">
        <v>187</v>
      </c>
      <c r="S169" t="s">
        <v>194</v>
      </c>
      <c r="U169" t="s">
        <v>1117</v>
      </c>
      <c r="V169" t="s">
        <v>268</v>
      </c>
      <c r="X169" t="s">
        <v>269</v>
      </c>
      <c r="AE169" t="s">
        <v>273</v>
      </c>
      <c r="AG169" t="s">
        <v>275</v>
      </c>
      <c r="AI169" t="s">
        <v>345</v>
      </c>
      <c r="AK169">
        <v>6</v>
      </c>
      <c r="AM169">
        <v>7</v>
      </c>
      <c r="AO169" t="s">
        <v>1104</v>
      </c>
      <c r="AP169" t="s">
        <v>281</v>
      </c>
      <c r="AQ169" t="s">
        <v>751</v>
      </c>
      <c r="AS169" t="s">
        <v>1096</v>
      </c>
      <c r="AT169" t="s">
        <v>191</v>
      </c>
      <c r="AU169" t="s">
        <v>191</v>
      </c>
      <c r="AV169" s="30">
        <v>0</v>
      </c>
      <c r="AW169" t="s">
        <v>287</v>
      </c>
      <c r="AX169" t="s">
        <v>191</v>
      </c>
      <c r="AZ169" t="s">
        <v>829</v>
      </c>
      <c r="BA169">
        <v>0</v>
      </c>
      <c r="BB169" t="s">
        <v>289</v>
      </c>
      <c r="BC169" t="s">
        <v>243</v>
      </c>
      <c r="BE169" t="s">
        <v>434</v>
      </c>
      <c r="BF169" t="s">
        <v>293</v>
      </c>
      <c r="BG169" t="s">
        <v>516</v>
      </c>
      <c r="BH169" t="s">
        <v>191</v>
      </c>
      <c r="BI169">
        <v>1</v>
      </c>
      <c r="BJ169" t="s">
        <v>767</v>
      </c>
      <c r="BK169" t="s">
        <v>769</v>
      </c>
      <c r="BL169" t="s">
        <v>755</v>
      </c>
      <c r="BM169" t="s">
        <v>756</v>
      </c>
      <c r="BN169" t="str">
        <f t="shared" ref="BN169:BN170" si="24">_xlfn.CONCAT(BL169:BM169)</f>
        <v>WT_HH</v>
      </c>
      <c r="BO169" t="s">
        <v>267</v>
      </c>
      <c r="BQ169">
        <v>10</v>
      </c>
      <c r="BR169">
        <v>10</v>
      </c>
      <c r="BS169" s="35">
        <v>3855.421687</v>
      </c>
      <c r="BT169" s="35">
        <v>406.62650600000001</v>
      </c>
      <c r="BU169" s="35">
        <v>1285.865916</v>
      </c>
      <c r="BV169" s="35"/>
      <c r="BW169" s="35">
        <v>3900.60241</v>
      </c>
      <c r="BX169" s="35">
        <v>451.80722889999998</v>
      </c>
      <c r="BY169" s="35">
        <v>1428.7399069999999</v>
      </c>
      <c r="CB169" t="s">
        <v>268</v>
      </c>
      <c r="CD169" t="s">
        <v>268</v>
      </c>
      <c r="CE169" t="s">
        <v>191</v>
      </c>
      <c r="CF169" t="s">
        <v>309</v>
      </c>
      <c r="CG169" t="s">
        <v>268</v>
      </c>
      <c r="CI169" t="s">
        <v>268</v>
      </c>
      <c r="CK169" s="30">
        <f t="shared" si="11"/>
        <v>1</v>
      </c>
      <c r="CL169">
        <f t="shared" si="12"/>
        <v>2</v>
      </c>
    </row>
    <row r="170" spans="1:90" hidden="1" x14ac:dyDescent="0.35">
      <c r="A170" t="s">
        <v>785</v>
      </c>
      <c r="B170" t="s">
        <v>747</v>
      </c>
      <c r="C170" t="s">
        <v>300</v>
      </c>
      <c r="D170" t="s">
        <v>748</v>
      </c>
      <c r="E170" t="s">
        <v>749</v>
      </c>
      <c r="F170">
        <v>2024</v>
      </c>
      <c r="G170" t="s">
        <v>344</v>
      </c>
      <c r="I170" t="s">
        <v>492</v>
      </c>
      <c r="K170" t="s">
        <v>180</v>
      </c>
      <c r="L170" t="s">
        <v>181</v>
      </c>
      <c r="M170" t="s">
        <v>509</v>
      </c>
      <c r="N170" t="s">
        <v>179</v>
      </c>
      <c r="O170" t="s">
        <v>186</v>
      </c>
      <c r="P170" t="s">
        <v>750</v>
      </c>
      <c r="Q170" t="s">
        <v>187</v>
      </c>
      <c r="S170" t="s">
        <v>194</v>
      </c>
      <c r="U170" t="s">
        <v>1117</v>
      </c>
      <c r="V170" t="s">
        <v>268</v>
      </c>
      <c r="X170" t="s">
        <v>269</v>
      </c>
      <c r="AE170" t="s">
        <v>273</v>
      </c>
      <c r="AG170" t="s">
        <v>275</v>
      </c>
      <c r="AI170" t="s">
        <v>345</v>
      </c>
      <c r="AK170">
        <v>6</v>
      </c>
      <c r="AM170">
        <v>7</v>
      </c>
      <c r="AO170" t="s">
        <v>1104</v>
      </c>
      <c r="AP170" t="s">
        <v>281</v>
      </c>
      <c r="AQ170" t="s">
        <v>752</v>
      </c>
      <c r="AS170" t="s">
        <v>1096</v>
      </c>
      <c r="AT170" t="s">
        <v>191</v>
      </c>
      <c r="AU170" t="s">
        <v>191</v>
      </c>
      <c r="AV170" s="30">
        <v>0</v>
      </c>
      <c r="AW170" t="s">
        <v>287</v>
      </c>
      <c r="AX170" t="s">
        <v>191</v>
      </c>
      <c r="AZ170" t="s">
        <v>829</v>
      </c>
      <c r="BA170">
        <v>0</v>
      </c>
      <c r="BB170" t="s">
        <v>289</v>
      </c>
      <c r="BC170" t="s">
        <v>243</v>
      </c>
      <c r="BE170" t="s">
        <v>434</v>
      </c>
      <c r="BF170" t="s">
        <v>293</v>
      </c>
      <c r="BG170" t="s">
        <v>516</v>
      </c>
      <c r="BH170" t="s">
        <v>191</v>
      </c>
      <c r="BI170">
        <v>1</v>
      </c>
      <c r="BJ170" t="s">
        <v>767</v>
      </c>
      <c r="BK170" t="s">
        <v>769</v>
      </c>
      <c r="BL170" t="s">
        <v>755</v>
      </c>
      <c r="BM170" t="s">
        <v>757</v>
      </c>
      <c r="BN170" t="str">
        <f t="shared" si="24"/>
        <v>WT_HM</v>
      </c>
      <c r="BO170" t="s">
        <v>267</v>
      </c>
      <c r="BQ170">
        <v>10</v>
      </c>
      <c r="BR170">
        <v>10</v>
      </c>
      <c r="BS170" s="35">
        <v>3855.421687</v>
      </c>
      <c r="BT170" s="35">
        <v>406.62650600000001</v>
      </c>
      <c r="BU170" s="35">
        <v>1285.865916</v>
      </c>
      <c r="BV170" s="35"/>
      <c r="BW170" s="35">
        <v>4698.7951810000004</v>
      </c>
      <c r="BX170" s="35">
        <v>572.28915659999996</v>
      </c>
      <c r="BY170" s="35">
        <v>1809.7372150000001</v>
      </c>
      <c r="CB170" t="s">
        <v>268</v>
      </c>
      <c r="CD170" t="s">
        <v>268</v>
      </c>
      <c r="CE170" t="s">
        <v>191</v>
      </c>
      <c r="CF170" t="s">
        <v>309</v>
      </c>
      <c r="CG170" t="s">
        <v>268</v>
      </c>
      <c r="CI170" t="s">
        <v>268</v>
      </c>
      <c r="CK170" s="30">
        <f t="shared" si="11"/>
        <v>1</v>
      </c>
      <c r="CL170">
        <f t="shared" si="12"/>
        <v>2</v>
      </c>
    </row>
    <row r="171" spans="1:90" hidden="1" x14ac:dyDescent="0.35">
      <c r="A171" t="s">
        <v>804</v>
      </c>
      <c r="B171" t="s">
        <v>786</v>
      </c>
      <c r="C171" t="s">
        <v>300</v>
      </c>
      <c r="D171" t="s">
        <v>787</v>
      </c>
      <c r="E171" t="s">
        <v>788</v>
      </c>
      <c r="F171">
        <v>2017</v>
      </c>
      <c r="G171" t="s">
        <v>175</v>
      </c>
      <c r="I171" t="s">
        <v>176</v>
      </c>
      <c r="K171" t="s">
        <v>178</v>
      </c>
      <c r="L171" t="s">
        <v>177</v>
      </c>
      <c r="M171" t="s">
        <v>1125</v>
      </c>
      <c r="N171" t="s">
        <v>179</v>
      </c>
      <c r="O171" t="s">
        <v>190</v>
      </c>
      <c r="P171" t="s">
        <v>789</v>
      </c>
      <c r="Q171" t="s">
        <v>190</v>
      </c>
      <c r="S171" t="s">
        <v>204</v>
      </c>
      <c r="U171" t="s">
        <v>1117</v>
      </c>
      <c r="V171" t="s">
        <v>267</v>
      </c>
      <c r="W171" t="s">
        <v>791</v>
      </c>
      <c r="X171" t="s">
        <v>269</v>
      </c>
      <c r="AE171" t="s">
        <v>273</v>
      </c>
      <c r="AG171" t="s">
        <v>275</v>
      </c>
      <c r="AI171" t="s">
        <v>345</v>
      </c>
      <c r="AK171">
        <v>5</v>
      </c>
      <c r="AM171">
        <v>15</v>
      </c>
      <c r="AO171" t="s">
        <v>1105</v>
      </c>
      <c r="AP171" t="s">
        <v>281</v>
      </c>
      <c r="AQ171" t="s">
        <v>283</v>
      </c>
      <c r="AR171" t="s">
        <v>476</v>
      </c>
      <c r="AS171" t="s">
        <v>1094</v>
      </c>
      <c r="AT171" t="s">
        <v>313</v>
      </c>
      <c r="AU171" t="s">
        <v>689</v>
      </c>
      <c r="AV171" s="30">
        <v>2</v>
      </c>
      <c r="AW171" t="s">
        <v>287</v>
      </c>
      <c r="AX171">
        <v>50</v>
      </c>
      <c r="AZ171" t="s">
        <v>829</v>
      </c>
      <c r="BA171">
        <v>2</v>
      </c>
      <c r="BB171" t="s">
        <v>289</v>
      </c>
      <c r="BC171" t="s">
        <v>243</v>
      </c>
      <c r="BE171" t="s">
        <v>793</v>
      </c>
      <c r="BF171" t="s">
        <v>294</v>
      </c>
      <c r="BG171" t="s">
        <v>300</v>
      </c>
      <c r="BH171" t="s">
        <v>281</v>
      </c>
      <c r="BI171">
        <v>2</v>
      </c>
      <c r="BJ171" t="s">
        <v>797</v>
      </c>
      <c r="BL171" t="s">
        <v>798</v>
      </c>
      <c r="BM171" t="s">
        <v>799</v>
      </c>
      <c r="BN171" t="str">
        <f t="shared" si="18"/>
        <v>CG_MG</v>
      </c>
      <c r="BO171" t="s">
        <v>267</v>
      </c>
      <c r="BQ171">
        <v>6</v>
      </c>
      <c r="BR171">
        <v>6</v>
      </c>
      <c r="BS171" s="35">
        <v>81</v>
      </c>
      <c r="BT171" s="35"/>
      <c r="BU171" s="35">
        <v>29.81</v>
      </c>
      <c r="BV171" s="35"/>
      <c r="BW171" s="35">
        <v>117.33</v>
      </c>
      <c r="BX171" s="35"/>
      <c r="BY171" s="35">
        <v>16.86</v>
      </c>
      <c r="CB171" t="s">
        <v>268</v>
      </c>
      <c r="CD171" t="s">
        <v>268</v>
      </c>
      <c r="CE171" t="s">
        <v>191</v>
      </c>
      <c r="CF171" t="s">
        <v>309</v>
      </c>
      <c r="CG171" t="s">
        <v>268</v>
      </c>
      <c r="CI171" t="s">
        <v>267</v>
      </c>
      <c r="CJ171" t="s">
        <v>802</v>
      </c>
      <c r="CK171" s="30">
        <f t="shared" si="11"/>
        <v>0</v>
      </c>
      <c r="CL171">
        <f t="shared" si="12"/>
        <v>6</v>
      </c>
    </row>
    <row r="172" spans="1:90" hidden="1" x14ac:dyDescent="0.35">
      <c r="A172" t="s">
        <v>805</v>
      </c>
      <c r="B172" t="s">
        <v>786</v>
      </c>
      <c r="C172" t="s">
        <v>300</v>
      </c>
      <c r="D172" t="s">
        <v>787</v>
      </c>
      <c r="E172" t="s">
        <v>788</v>
      </c>
      <c r="F172">
        <v>2017</v>
      </c>
      <c r="G172" t="s">
        <v>344</v>
      </c>
      <c r="I172" t="s">
        <v>176</v>
      </c>
      <c r="K172" t="s">
        <v>178</v>
      </c>
      <c r="L172" t="s">
        <v>177</v>
      </c>
      <c r="M172" t="s">
        <v>1125</v>
      </c>
      <c r="N172" t="s">
        <v>179</v>
      </c>
      <c r="O172" t="s">
        <v>190</v>
      </c>
      <c r="P172" t="s">
        <v>789</v>
      </c>
      <c r="Q172" t="s">
        <v>190</v>
      </c>
      <c r="S172" t="s">
        <v>204</v>
      </c>
      <c r="U172" t="s">
        <v>1117</v>
      </c>
      <c r="V172" t="s">
        <v>267</v>
      </c>
      <c r="W172" t="s">
        <v>790</v>
      </c>
      <c r="X172" t="s">
        <v>269</v>
      </c>
      <c r="AE172" t="s">
        <v>273</v>
      </c>
      <c r="AG172" t="s">
        <v>275</v>
      </c>
      <c r="AI172" t="s">
        <v>345</v>
      </c>
      <c r="AK172">
        <v>5</v>
      </c>
      <c r="AM172">
        <v>15</v>
      </c>
      <c r="AO172" t="s">
        <v>1105</v>
      </c>
      <c r="AP172" t="s">
        <v>281</v>
      </c>
      <c r="AQ172" t="s">
        <v>283</v>
      </c>
      <c r="AR172" t="s">
        <v>476</v>
      </c>
      <c r="AS172" t="s">
        <v>1094</v>
      </c>
      <c r="AT172" t="s">
        <v>313</v>
      </c>
      <c r="AU172" t="s">
        <v>689</v>
      </c>
      <c r="AV172" s="30">
        <v>2</v>
      </c>
      <c r="AW172" t="s">
        <v>287</v>
      </c>
      <c r="AX172">
        <v>50</v>
      </c>
      <c r="AZ172" t="s">
        <v>829</v>
      </c>
      <c r="BA172">
        <v>2</v>
      </c>
      <c r="BB172" t="s">
        <v>289</v>
      </c>
      <c r="BC172" t="s">
        <v>243</v>
      </c>
      <c r="BE172" t="s">
        <v>793</v>
      </c>
      <c r="BF172" t="s">
        <v>294</v>
      </c>
      <c r="BG172" t="s">
        <v>300</v>
      </c>
      <c r="BH172" t="s">
        <v>281</v>
      </c>
      <c r="BI172">
        <v>2</v>
      </c>
      <c r="BJ172" t="s">
        <v>797</v>
      </c>
      <c r="BL172" t="s">
        <v>800</v>
      </c>
      <c r="BM172" t="s">
        <v>801</v>
      </c>
      <c r="BN172" t="str">
        <f t="shared" si="18"/>
        <v>CPG_CPMG</v>
      </c>
      <c r="BO172" t="s">
        <v>267</v>
      </c>
      <c r="BQ172">
        <v>6</v>
      </c>
      <c r="BR172">
        <v>6</v>
      </c>
      <c r="BS172" s="35">
        <v>91</v>
      </c>
      <c r="BT172" s="35"/>
      <c r="BU172" s="35">
        <v>32.700000000000003</v>
      </c>
      <c r="BV172" s="35"/>
      <c r="BW172" s="35">
        <v>119.16</v>
      </c>
      <c r="BX172" s="35"/>
      <c r="BY172" s="35">
        <v>16.37</v>
      </c>
      <c r="CB172" t="s">
        <v>268</v>
      </c>
      <c r="CD172" t="s">
        <v>268</v>
      </c>
      <c r="CE172" t="s">
        <v>191</v>
      </c>
      <c r="CF172" t="s">
        <v>309</v>
      </c>
      <c r="CG172" t="s">
        <v>268</v>
      </c>
      <c r="CI172" t="s">
        <v>267</v>
      </c>
      <c r="CJ172" t="s">
        <v>802</v>
      </c>
      <c r="CK172" s="30">
        <f t="shared" si="11"/>
        <v>0</v>
      </c>
      <c r="CL172">
        <f t="shared" si="12"/>
        <v>6</v>
      </c>
    </row>
    <row r="173" spans="1:90" hidden="1" x14ac:dyDescent="0.35">
      <c r="A173" t="s">
        <v>806</v>
      </c>
      <c r="B173" t="s">
        <v>786</v>
      </c>
      <c r="C173" t="s">
        <v>300</v>
      </c>
      <c r="D173" t="s">
        <v>787</v>
      </c>
      <c r="E173" t="s">
        <v>788</v>
      </c>
      <c r="F173">
        <v>2017</v>
      </c>
      <c r="G173" t="s">
        <v>175</v>
      </c>
      <c r="I173" t="s">
        <v>331</v>
      </c>
      <c r="K173" t="s">
        <v>178</v>
      </c>
      <c r="L173" t="s">
        <v>177</v>
      </c>
      <c r="M173" t="s">
        <v>1125</v>
      </c>
      <c r="N173" t="s">
        <v>179</v>
      </c>
      <c r="O173" t="s">
        <v>190</v>
      </c>
      <c r="P173" t="s">
        <v>789</v>
      </c>
      <c r="Q173" t="s">
        <v>190</v>
      </c>
      <c r="S173" t="s">
        <v>204</v>
      </c>
      <c r="U173" t="s">
        <v>1117</v>
      </c>
      <c r="V173" t="s">
        <v>267</v>
      </c>
      <c r="W173" t="s">
        <v>791</v>
      </c>
      <c r="X173" t="s">
        <v>269</v>
      </c>
      <c r="AE173" t="s">
        <v>273</v>
      </c>
      <c r="AG173" t="s">
        <v>275</v>
      </c>
      <c r="AI173" t="s">
        <v>345</v>
      </c>
      <c r="AK173">
        <v>5</v>
      </c>
      <c r="AM173">
        <v>15</v>
      </c>
      <c r="AO173" t="s">
        <v>1105</v>
      </c>
      <c r="AP173" t="s">
        <v>281</v>
      </c>
      <c r="AQ173" t="s">
        <v>283</v>
      </c>
      <c r="AR173" t="s">
        <v>476</v>
      </c>
      <c r="AS173" t="s">
        <v>1094</v>
      </c>
      <c r="AT173" t="s">
        <v>313</v>
      </c>
      <c r="AU173" t="s">
        <v>689</v>
      </c>
      <c r="AV173" s="30">
        <v>2</v>
      </c>
      <c r="AW173" t="s">
        <v>287</v>
      </c>
      <c r="AX173">
        <v>50</v>
      </c>
      <c r="AZ173" t="s">
        <v>829</v>
      </c>
      <c r="BA173">
        <v>2</v>
      </c>
      <c r="BB173" t="s">
        <v>289</v>
      </c>
      <c r="BC173" t="s">
        <v>243</v>
      </c>
      <c r="BE173" t="s">
        <v>792</v>
      </c>
      <c r="BF173" t="s">
        <v>291</v>
      </c>
      <c r="BG173" t="s">
        <v>297</v>
      </c>
      <c r="BH173" t="s">
        <v>281</v>
      </c>
      <c r="BI173">
        <v>2</v>
      </c>
      <c r="BJ173" t="s">
        <v>797</v>
      </c>
      <c r="BL173" t="s">
        <v>798</v>
      </c>
      <c r="BM173" t="s">
        <v>799</v>
      </c>
      <c r="BN173" t="str">
        <f t="shared" si="18"/>
        <v>CG_MG</v>
      </c>
      <c r="BO173" t="s">
        <v>268</v>
      </c>
      <c r="BQ173">
        <v>6</v>
      </c>
      <c r="BR173">
        <v>6</v>
      </c>
      <c r="BS173" s="35">
        <v>170.16</v>
      </c>
      <c r="BT173" s="35"/>
      <c r="BU173" s="35">
        <v>28.54</v>
      </c>
      <c r="BV173" s="35"/>
      <c r="BW173" s="35">
        <v>182.5</v>
      </c>
      <c r="BX173" s="35"/>
      <c r="BY173" s="35">
        <v>19.8</v>
      </c>
      <c r="CB173" t="s">
        <v>268</v>
      </c>
      <c r="CD173" t="s">
        <v>268</v>
      </c>
      <c r="CE173" t="s">
        <v>191</v>
      </c>
      <c r="CF173" t="s">
        <v>309</v>
      </c>
      <c r="CG173" t="s">
        <v>268</v>
      </c>
      <c r="CI173" t="s">
        <v>267</v>
      </c>
      <c r="CJ173" t="s">
        <v>802</v>
      </c>
      <c r="CK173" s="30">
        <f t="shared" si="11"/>
        <v>0</v>
      </c>
      <c r="CL173">
        <f t="shared" si="12"/>
        <v>6</v>
      </c>
    </row>
    <row r="174" spans="1:90" hidden="1" x14ac:dyDescent="0.35">
      <c r="A174" t="s">
        <v>807</v>
      </c>
      <c r="B174" t="s">
        <v>786</v>
      </c>
      <c r="C174" t="s">
        <v>300</v>
      </c>
      <c r="D174" t="s">
        <v>787</v>
      </c>
      <c r="E174" t="s">
        <v>788</v>
      </c>
      <c r="F174">
        <v>2017</v>
      </c>
      <c r="G174" t="s">
        <v>344</v>
      </c>
      <c r="I174" t="s">
        <v>331</v>
      </c>
      <c r="K174" t="s">
        <v>178</v>
      </c>
      <c r="L174" t="s">
        <v>177</v>
      </c>
      <c r="M174" t="s">
        <v>1125</v>
      </c>
      <c r="N174" t="s">
        <v>179</v>
      </c>
      <c r="O174" t="s">
        <v>190</v>
      </c>
      <c r="P174" t="s">
        <v>789</v>
      </c>
      <c r="Q174" t="s">
        <v>190</v>
      </c>
      <c r="S174" t="s">
        <v>204</v>
      </c>
      <c r="U174" t="s">
        <v>1117</v>
      </c>
      <c r="V174" t="s">
        <v>267</v>
      </c>
      <c r="W174" t="s">
        <v>790</v>
      </c>
      <c r="X174" t="s">
        <v>269</v>
      </c>
      <c r="AE174" t="s">
        <v>273</v>
      </c>
      <c r="AG174" t="s">
        <v>275</v>
      </c>
      <c r="AI174" t="s">
        <v>345</v>
      </c>
      <c r="AK174">
        <v>5</v>
      </c>
      <c r="AM174">
        <v>15</v>
      </c>
      <c r="AO174" t="s">
        <v>1105</v>
      </c>
      <c r="AP174" t="s">
        <v>281</v>
      </c>
      <c r="AQ174" t="s">
        <v>283</v>
      </c>
      <c r="AR174" t="s">
        <v>476</v>
      </c>
      <c r="AS174" t="s">
        <v>1094</v>
      </c>
      <c r="AT174" t="s">
        <v>313</v>
      </c>
      <c r="AU174" t="s">
        <v>689</v>
      </c>
      <c r="AV174" s="30">
        <v>2</v>
      </c>
      <c r="AW174" t="s">
        <v>287</v>
      </c>
      <c r="AX174">
        <v>50</v>
      </c>
      <c r="AZ174" t="s">
        <v>829</v>
      </c>
      <c r="BA174">
        <v>2</v>
      </c>
      <c r="BB174" t="s">
        <v>289</v>
      </c>
      <c r="BC174" t="s">
        <v>243</v>
      </c>
      <c r="BE174" t="s">
        <v>792</v>
      </c>
      <c r="BF174" t="s">
        <v>291</v>
      </c>
      <c r="BG174" t="s">
        <v>297</v>
      </c>
      <c r="BH174" t="s">
        <v>281</v>
      </c>
      <c r="BI174">
        <v>2</v>
      </c>
      <c r="BJ174" t="s">
        <v>797</v>
      </c>
      <c r="BL174" t="s">
        <v>800</v>
      </c>
      <c r="BM174" t="s">
        <v>801</v>
      </c>
      <c r="BN174" t="str">
        <f t="shared" si="18"/>
        <v>CPG_CPMG</v>
      </c>
      <c r="BO174" t="s">
        <v>268</v>
      </c>
      <c r="BQ174">
        <v>6</v>
      </c>
      <c r="BR174">
        <v>6</v>
      </c>
      <c r="BS174" s="35">
        <v>185.33</v>
      </c>
      <c r="BT174" s="35"/>
      <c r="BU174" s="35">
        <v>17.52</v>
      </c>
      <c r="BV174" s="35"/>
      <c r="BW174" s="35">
        <v>205</v>
      </c>
      <c r="BX174" s="35"/>
      <c r="BY174" s="35">
        <v>33.32</v>
      </c>
      <c r="CB174" t="s">
        <v>268</v>
      </c>
      <c r="CD174" t="s">
        <v>268</v>
      </c>
      <c r="CE174" t="s">
        <v>191</v>
      </c>
      <c r="CF174" t="s">
        <v>309</v>
      </c>
      <c r="CG174" t="s">
        <v>268</v>
      </c>
      <c r="CI174" t="s">
        <v>267</v>
      </c>
      <c r="CJ174" t="s">
        <v>802</v>
      </c>
      <c r="CK174" s="30">
        <f t="shared" si="11"/>
        <v>0</v>
      </c>
      <c r="CL174">
        <f t="shared" si="12"/>
        <v>6</v>
      </c>
    </row>
    <row r="175" spans="1:90" hidden="1" x14ac:dyDescent="0.35">
      <c r="A175" t="s">
        <v>808</v>
      </c>
      <c r="B175" t="s">
        <v>786</v>
      </c>
      <c r="C175" t="s">
        <v>300</v>
      </c>
      <c r="D175" t="s">
        <v>787</v>
      </c>
      <c r="E175" t="s">
        <v>788</v>
      </c>
      <c r="F175">
        <v>2017</v>
      </c>
      <c r="G175" t="s">
        <v>175</v>
      </c>
      <c r="I175" t="s">
        <v>332</v>
      </c>
      <c r="K175" t="s">
        <v>178</v>
      </c>
      <c r="L175" t="s">
        <v>177</v>
      </c>
      <c r="M175" t="s">
        <v>1125</v>
      </c>
      <c r="N175" t="s">
        <v>179</v>
      </c>
      <c r="O175" t="s">
        <v>190</v>
      </c>
      <c r="P175" t="s">
        <v>789</v>
      </c>
      <c r="Q175" t="s">
        <v>190</v>
      </c>
      <c r="S175" t="s">
        <v>204</v>
      </c>
      <c r="U175" t="s">
        <v>1117</v>
      </c>
      <c r="V175" t="s">
        <v>267</v>
      </c>
      <c r="W175" t="s">
        <v>791</v>
      </c>
      <c r="X175" t="s">
        <v>269</v>
      </c>
      <c r="AE175" t="s">
        <v>273</v>
      </c>
      <c r="AG175" t="s">
        <v>275</v>
      </c>
      <c r="AI175" t="s">
        <v>345</v>
      </c>
      <c r="AK175">
        <v>5</v>
      </c>
      <c r="AM175">
        <v>15</v>
      </c>
      <c r="AO175" t="s">
        <v>1105</v>
      </c>
      <c r="AP175" t="s">
        <v>281</v>
      </c>
      <c r="AQ175" t="s">
        <v>283</v>
      </c>
      <c r="AR175" t="s">
        <v>476</v>
      </c>
      <c r="AS175" t="s">
        <v>1094</v>
      </c>
      <c r="AT175" t="s">
        <v>313</v>
      </c>
      <c r="AU175" t="s">
        <v>689</v>
      </c>
      <c r="AV175" s="30">
        <v>2</v>
      </c>
      <c r="AW175" t="s">
        <v>287</v>
      </c>
      <c r="AX175">
        <v>50</v>
      </c>
      <c r="AZ175" t="s">
        <v>829</v>
      </c>
      <c r="BA175">
        <v>2</v>
      </c>
      <c r="BB175" t="s">
        <v>289</v>
      </c>
      <c r="BC175" t="s">
        <v>243</v>
      </c>
      <c r="BE175" t="s">
        <v>794</v>
      </c>
      <c r="BF175" t="s">
        <v>294</v>
      </c>
      <c r="BG175" t="s">
        <v>300</v>
      </c>
      <c r="BH175" t="s">
        <v>281</v>
      </c>
      <c r="BI175">
        <v>2</v>
      </c>
      <c r="BJ175" t="s">
        <v>797</v>
      </c>
      <c r="BL175" t="s">
        <v>798</v>
      </c>
      <c r="BM175" t="s">
        <v>799</v>
      </c>
      <c r="BN175" t="str">
        <f t="shared" si="18"/>
        <v>CG_MG</v>
      </c>
      <c r="BO175" t="s">
        <v>267</v>
      </c>
      <c r="BQ175">
        <v>6</v>
      </c>
      <c r="BR175">
        <v>6</v>
      </c>
      <c r="BS175" s="35">
        <v>3.33</v>
      </c>
      <c r="BT175" s="35"/>
      <c r="BU175" s="35">
        <v>2.25</v>
      </c>
      <c r="BV175" s="35"/>
      <c r="BW175" s="35">
        <v>5.5</v>
      </c>
      <c r="BX175" s="35"/>
      <c r="BY175" s="35">
        <v>2.25</v>
      </c>
      <c r="CB175" t="s">
        <v>268</v>
      </c>
      <c r="CD175" t="s">
        <v>268</v>
      </c>
      <c r="CE175" t="s">
        <v>191</v>
      </c>
      <c r="CF175" t="s">
        <v>309</v>
      </c>
      <c r="CG175" t="s">
        <v>268</v>
      </c>
      <c r="CI175" t="s">
        <v>267</v>
      </c>
      <c r="CJ175" t="s">
        <v>802</v>
      </c>
      <c r="CK175" s="30">
        <f t="shared" si="11"/>
        <v>0</v>
      </c>
      <c r="CL175">
        <f t="shared" si="12"/>
        <v>6</v>
      </c>
    </row>
    <row r="176" spans="1:90" hidden="1" x14ac:dyDescent="0.35">
      <c r="A176" t="s">
        <v>809</v>
      </c>
      <c r="B176" t="s">
        <v>786</v>
      </c>
      <c r="C176" t="s">
        <v>300</v>
      </c>
      <c r="D176" t="s">
        <v>787</v>
      </c>
      <c r="E176" t="s">
        <v>788</v>
      </c>
      <c r="F176">
        <v>2017</v>
      </c>
      <c r="G176" t="s">
        <v>344</v>
      </c>
      <c r="I176" t="s">
        <v>332</v>
      </c>
      <c r="K176" t="s">
        <v>178</v>
      </c>
      <c r="L176" t="s">
        <v>177</v>
      </c>
      <c r="M176" t="s">
        <v>1125</v>
      </c>
      <c r="N176" t="s">
        <v>179</v>
      </c>
      <c r="O176" t="s">
        <v>190</v>
      </c>
      <c r="P176" t="s">
        <v>789</v>
      </c>
      <c r="Q176" t="s">
        <v>190</v>
      </c>
      <c r="S176" t="s">
        <v>204</v>
      </c>
      <c r="U176" t="s">
        <v>1117</v>
      </c>
      <c r="V176" t="s">
        <v>267</v>
      </c>
      <c r="W176" t="s">
        <v>790</v>
      </c>
      <c r="X176" t="s">
        <v>269</v>
      </c>
      <c r="AE176" t="s">
        <v>273</v>
      </c>
      <c r="AG176" t="s">
        <v>275</v>
      </c>
      <c r="AI176" t="s">
        <v>345</v>
      </c>
      <c r="AK176">
        <v>5</v>
      </c>
      <c r="AM176">
        <v>15</v>
      </c>
      <c r="AO176" t="s">
        <v>1105</v>
      </c>
      <c r="AP176" t="s">
        <v>281</v>
      </c>
      <c r="AQ176" t="s">
        <v>283</v>
      </c>
      <c r="AR176" t="s">
        <v>476</v>
      </c>
      <c r="AS176" t="s">
        <v>1094</v>
      </c>
      <c r="AT176" t="s">
        <v>313</v>
      </c>
      <c r="AU176" t="s">
        <v>689</v>
      </c>
      <c r="AV176" s="30">
        <v>2</v>
      </c>
      <c r="AW176" t="s">
        <v>287</v>
      </c>
      <c r="AX176">
        <v>50</v>
      </c>
      <c r="AZ176" t="s">
        <v>829</v>
      </c>
      <c r="BA176">
        <v>2</v>
      </c>
      <c r="BB176" t="s">
        <v>289</v>
      </c>
      <c r="BC176" t="s">
        <v>243</v>
      </c>
      <c r="BE176" t="s">
        <v>794</v>
      </c>
      <c r="BF176" t="s">
        <v>294</v>
      </c>
      <c r="BG176" t="s">
        <v>300</v>
      </c>
      <c r="BH176" t="s">
        <v>281</v>
      </c>
      <c r="BI176">
        <v>2</v>
      </c>
      <c r="BJ176" t="s">
        <v>797</v>
      </c>
      <c r="BL176" t="s">
        <v>800</v>
      </c>
      <c r="BM176" t="s">
        <v>801</v>
      </c>
      <c r="BN176" t="str">
        <f t="shared" si="18"/>
        <v>CPG_CPMG</v>
      </c>
      <c r="BO176" t="s">
        <v>267</v>
      </c>
      <c r="BQ176">
        <v>6</v>
      </c>
      <c r="BR176">
        <v>6</v>
      </c>
      <c r="BS176" s="35">
        <v>2.16</v>
      </c>
      <c r="BT176" s="35"/>
      <c r="BU176" s="35">
        <v>1.47</v>
      </c>
      <c r="BV176" s="35"/>
      <c r="BW176" s="35">
        <v>5.16</v>
      </c>
      <c r="BX176" s="35"/>
      <c r="BY176" s="35">
        <v>2.85</v>
      </c>
      <c r="CB176" t="s">
        <v>268</v>
      </c>
      <c r="CD176" t="s">
        <v>268</v>
      </c>
      <c r="CE176" t="s">
        <v>191</v>
      </c>
      <c r="CF176" t="s">
        <v>309</v>
      </c>
      <c r="CG176" t="s">
        <v>268</v>
      </c>
      <c r="CI176" t="s">
        <v>267</v>
      </c>
      <c r="CJ176" t="s">
        <v>802</v>
      </c>
      <c r="CK176" s="30">
        <f t="shared" si="11"/>
        <v>0</v>
      </c>
      <c r="CL176">
        <f t="shared" si="12"/>
        <v>6</v>
      </c>
    </row>
    <row r="177" spans="1:90" hidden="1" x14ac:dyDescent="0.35">
      <c r="A177" t="s">
        <v>810</v>
      </c>
      <c r="B177" t="s">
        <v>786</v>
      </c>
      <c r="C177" t="s">
        <v>300</v>
      </c>
      <c r="D177" t="s">
        <v>787</v>
      </c>
      <c r="E177" t="s">
        <v>788</v>
      </c>
      <c r="F177">
        <v>2017</v>
      </c>
      <c r="G177" t="s">
        <v>175</v>
      </c>
      <c r="I177" t="s">
        <v>333</v>
      </c>
      <c r="K177" t="s">
        <v>178</v>
      </c>
      <c r="L177" t="s">
        <v>177</v>
      </c>
      <c r="M177" t="s">
        <v>1125</v>
      </c>
      <c r="N177" t="s">
        <v>179</v>
      </c>
      <c r="O177" t="s">
        <v>190</v>
      </c>
      <c r="P177" t="s">
        <v>789</v>
      </c>
      <c r="Q177" t="s">
        <v>190</v>
      </c>
      <c r="S177" t="s">
        <v>204</v>
      </c>
      <c r="U177" t="s">
        <v>1117</v>
      </c>
      <c r="V177" t="s">
        <v>267</v>
      </c>
      <c r="W177" t="s">
        <v>791</v>
      </c>
      <c r="X177" t="s">
        <v>269</v>
      </c>
      <c r="AE177" t="s">
        <v>273</v>
      </c>
      <c r="AG177" t="s">
        <v>275</v>
      </c>
      <c r="AI177" t="s">
        <v>345</v>
      </c>
      <c r="AK177">
        <v>5</v>
      </c>
      <c r="AM177">
        <v>15</v>
      </c>
      <c r="AO177" t="s">
        <v>1105</v>
      </c>
      <c r="AP177" t="s">
        <v>281</v>
      </c>
      <c r="AQ177" t="s">
        <v>283</v>
      </c>
      <c r="AR177" t="s">
        <v>476</v>
      </c>
      <c r="AS177" t="s">
        <v>1094</v>
      </c>
      <c r="AT177" t="s">
        <v>313</v>
      </c>
      <c r="AU177" t="s">
        <v>689</v>
      </c>
      <c r="AV177" s="30">
        <v>2</v>
      </c>
      <c r="AW177" t="s">
        <v>287</v>
      </c>
      <c r="AX177">
        <v>50</v>
      </c>
      <c r="AZ177" t="s">
        <v>829</v>
      </c>
      <c r="BA177">
        <v>2</v>
      </c>
      <c r="BB177" t="s">
        <v>289</v>
      </c>
      <c r="BC177" t="s">
        <v>243</v>
      </c>
      <c r="BE177" t="s">
        <v>795</v>
      </c>
      <c r="BF177" t="s">
        <v>291</v>
      </c>
      <c r="BG177" t="s">
        <v>297</v>
      </c>
      <c r="BH177" t="s">
        <v>281</v>
      </c>
      <c r="BI177">
        <v>2</v>
      </c>
      <c r="BJ177" t="s">
        <v>797</v>
      </c>
      <c r="BL177" t="s">
        <v>798</v>
      </c>
      <c r="BM177" t="s">
        <v>799</v>
      </c>
      <c r="BN177" t="str">
        <f t="shared" si="18"/>
        <v>CG_MG</v>
      </c>
      <c r="BO177" t="s">
        <v>267</v>
      </c>
      <c r="BQ177">
        <v>6</v>
      </c>
      <c r="BR177">
        <v>6</v>
      </c>
      <c r="BS177" s="35">
        <v>3</v>
      </c>
      <c r="BT177" s="35"/>
      <c r="BU177" s="35">
        <v>2.68</v>
      </c>
      <c r="BV177" s="35"/>
      <c r="BW177" s="35">
        <v>10.33</v>
      </c>
      <c r="BX177" s="35"/>
      <c r="BY177" s="35">
        <v>5.39</v>
      </c>
      <c r="CB177" t="s">
        <v>268</v>
      </c>
      <c r="CD177" t="s">
        <v>268</v>
      </c>
      <c r="CE177" t="s">
        <v>191</v>
      </c>
      <c r="CF177" t="s">
        <v>309</v>
      </c>
      <c r="CG177" t="s">
        <v>268</v>
      </c>
      <c r="CI177" t="s">
        <v>267</v>
      </c>
      <c r="CJ177" t="s">
        <v>802</v>
      </c>
      <c r="CK177" s="30">
        <f t="shared" si="11"/>
        <v>0</v>
      </c>
      <c r="CL177">
        <f t="shared" si="12"/>
        <v>6</v>
      </c>
    </row>
    <row r="178" spans="1:90" hidden="1" x14ac:dyDescent="0.35">
      <c r="A178" t="s">
        <v>811</v>
      </c>
      <c r="B178" t="s">
        <v>786</v>
      </c>
      <c r="C178" t="s">
        <v>300</v>
      </c>
      <c r="D178" t="s">
        <v>787</v>
      </c>
      <c r="E178" t="s">
        <v>788</v>
      </c>
      <c r="F178">
        <v>2017</v>
      </c>
      <c r="G178" t="s">
        <v>344</v>
      </c>
      <c r="I178" t="s">
        <v>333</v>
      </c>
      <c r="K178" t="s">
        <v>178</v>
      </c>
      <c r="L178" t="s">
        <v>177</v>
      </c>
      <c r="M178" t="s">
        <v>1125</v>
      </c>
      <c r="N178" t="s">
        <v>179</v>
      </c>
      <c r="O178" t="s">
        <v>190</v>
      </c>
      <c r="P178" t="s">
        <v>789</v>
      </c>
      <c r="Q178" t="s">
        <v>190</v>
      </c>
      <c r="S178" t="s">
        <v>204</v>
      </c>
      <c r="U178" t="s">
        <v>1117</v>
      </c>
      <c r="V178" t="s">
        <v>267</v>
      </c>
      <c r="W178" t="s">
        <v>790</v>
      </c>
      <c r="X178" t="s">
        <v>269</v>
      </c>
      <c r="AE178" t="s">
        <v>273</v>
      </c>
      <c r="AG178" t="s">
        <v>275</v>
      </c>
      <c r="AI178" t="s">
        <v>345</v>
      </c>
      <c r="AK178">
        <v>5</v>
      </c>
      <c r="AM178">
        <v>15</v>
      </c>
      <c r="AO178" t="s">
        <v>1105</v>
      </c>
      <c r="AP178" t="s">
        <v>281</v>
      </c>
      <c r="AQ178" t="s">
        <v>283</v>
      </c>
      <c r="AR178" t="s">
        <v>476</v>
      </c>
      <c r="AS178" t="s">
        <v>1094</v>
      </c>
      <c r="AT178" t="s">
        <v>313</v>
      </c>
      <c r="AU178" t="s">
        <v>689</v>
      </c>
      <c r="AV178" s="30">
        <v>2</v>
      </c>
      <c r="AW178" t="s">
        <v>287</v>
      </c>
      <c r="AX178">
        <v>50</v>
      </c>
      <c r="AZ178" t="s">
        <v>829</v>
      </c>
      <c r="BA178">
        <v>2</v>
      </c>
      <c r="BB178" t="s">
        <v>289</v>
      </c>
      <c r="BC178" t="s">
        <v>243</v>
      </c>
      <c r="BE178" t="s">
        <v>795</v>
      </c>
      <c r="BF178" t="s">
        <v>291</v>
      </c>
      <c r="BG178" t="s">
        <v>297</v>
      </c>
      <c r="BH178" t="s">
        <v>281</v>
      </c>
      <c r="BI178">
        <v>2</v>
      </c>
      <c r="BJ178" t="s">
        <v>797</v>
      </c>
      <c r="BL178" t="s">
        <v>800</v>
      </c>
      <c r="BM178" t="s">
        <v>801</v>
      </c>
      <c r="BN178" t="str">
        <f t="shared" si="18"/>
        <v>CPG_CPMG</v>
      </c>
      <c r="BO178" t="s">
        <v>267</v>
      </c>
      <c r="BQ178">
        <v>6</v>
      </c>
      <c r="BR178">
        <v>6</v>
      </c>
      <c r="BS178" s="35">
        <v>2.83</v>
      </c>
      <c r="BT178" s="35"/>
      <c r="BU178" s="35">
        <v>1.72</v>
      </c>
      <c r="BV178" s="35"/>
      <c r="BW178" s="35">
        <v>12.83</v>
      </c>
      <c r="BX178" s="35"/>
      <c r="BY178" s="35">
        <v>7.88</v>
      </c>
      <c r="CB178" t="s">
        <v>268</v>
      </c>
      <c r="CD178" t="s">
        <v>268</v>
      </c>
      <c r="CE178" t="s">
        <v>191</v>
      </c>
      <c r="CF178" t="s">
        <v>309</v>
      </c>
      <c r="CG178" t="s">
        <v>268</v>
      </c>
      <c r="CI178" t="s">
        <v>267</v>
      </c>
      <c r="CJ178" t="s">
        <v>802</v>
      </c>
      <c r="CK178" s="30">
        <f t="shared" si="11"/>
        <v>0</v>
      </c>
      <c r="CL178">
        <f t="shared" si="12"/>
        <v>6</v>
      </c>
    </row>
    <row r="179" spans="1:90" hidden="1" x14ac:dyDescent="0.35">
      <c r="A179" t="s">
        <v>812</v>
      </c>
      <c r="B179" t="s">
        <v>786</v>
      </c>
      <c r="C179" t="s">
        <v>300</v>
      </c>
      <c r="D179" t="s">
        <v>787</v>
      </c>
      <c r="E179" t="s">
        <v>788</v>
      </c>
      <c r="F179">
        <v>2017</v>
      </c>
      <c r="G179" t="s">
        <v>175</v>
      </c>
      <c r="I179" t="s">
        <v>826</v>
      </c>
      <c r="K179" t="s">
        <v>178</v>
      </c>
      <c r="L179" t="s">
        <v>177</v>
      </c>
      <c r="M179" t="s">
        <v>1125</v>
      </c>
      <c r="N179" t="s">
        <v>179</v>
      </c>
      <c r="O179" t="s">
        <v>190</v>
      </c>
      <c r="P179" t="s">
        <v>789</v>
      </c>
      <c r="Q179" t="s">
        <v>190</v>
      </c>
      <c r="S179" t="s">
        <v>204</v>
      </c>
      <c r="U179" t="s">
        <v>1117</v>
      </c>
      <c r="V179" t="s">
        <v>267</v>
      </c>
      <c r="W179" t="s">
        <v>791</v>
      </c>
      <c r="X179" t="s">
        <v>269</v>
      </c>
      <c r="AE179" t="s">
        <v>273</v>
      </c>
      <c r="AG179" t="s">
        <v>275</v>
      </c>
      <c r="AI179" t="s">
        <v>345</v>
      </c>
      <c r="AK179">
        <v>5</v>
      </c>
      <c r="AM179">
        <v>15</v>
      </c>
      <c r="AO179" t="s">
        <v>1105</v>
      </c>
      <c r="AP179" t="s">
        <v>281</v>
      </c>
      <c r="AQ179" t="s">
        <v>283</v>
      </c>
      <c r="AR179" t="s">
        <v>476</v>
      </c>
      <c r="AS179" t="s">
        <v>1094</v>
      </c>
      <c r="AT179" t="s">
        <v>313</v>
      </c>
      <c r="AU179" t="s">
        <v>689</v>
      </c>
      <c r="AV179" s="30">
        <v>2</v>
      </c>
      <c r="AW179" t="s">
        <v>287</v>
      </c>
      <c r="AX179">
        <v>50</v>
      </c>
      <c r="AZ179" t="s">
        <v>829</v>
      </c>
      <c r="BA179">
        <v>2</v>
      </c>
      <c r="BB179" t="s">
        <v>289</v>
      </c>
      <c r="BC179" t="s">
        <v>243</v>
      </c>
      <c r="BE179" t="s">
        <v>794</v>
      </c>
      <c r="BF179" t="s">
        <v>292</v>
      </c>
      <c r="BG179" t="s">
        <v>298</v>
      </c>
      <c r="BH179" t="s">
        <v>281</v>
      </c>
      <c r="BI179">
        <v>2</v>
      </c>
      <c r="BJ179" t="s">
        <v>797</v>
      </c>
      <c r="BL179" t="s">
        <v>798</v>
      </c>
      <c r="BM179" t="s">
        <v>799</v>
      </c>
      <c r="BN179" t="str">
        <f t="shared" si="18"/>
        <v>CG_MG</v>
      </c>
      <c r="BO179" t="s">
        <v>267</v>
      </c>
      <c r="BQ179">
        <v>6</v>
      </c>
      <c r="BR179">
        <v>6</v>
      </c>
      <c r="BS179" s="35">
        <v>4.24</v>
      </c>
      <c r="BT179" s="35"/>
      <c r="BU179" s="35">
        <v>2.85</v>
      </c>
      <c r="BV179" s="35"/>
      <c r="BW179" s="35">
        <v>4.46</v>
      </c>
      <c r="BX179" s="35"/>
      <c r="BY179" s="35">
        <v>1.75</v>
      </c>
      <c r="CB179" t="s">
        <v>268</v>
      </c>
      <c r="CD179" t="s">
        <v>268</v>
      </c>
      <c r="CE179" t="s">
        <v>191</v>
      </c>
      <c r="CF179" t="s">
        <v>309</v>
      </c>
      <c r="CG179" t="s">
        <v>268</v>
      </c>
      <c r="CI179" t="s">
        <v>267</v>
      </c>
      <c r="CJ179" t="s">
        <v>802</v>
      </c>
      <c r="CK179" s="30">
        <f t="shared" si="11"/>
        <v>0</v>
      </c>
      <c r="CL179">
        <f t="shared" si="12"/>
        <v>6</v>
      </c>
    </row>
    <row r="180" spans="1:90" hidden="1" x14ac:dyDescent="0.35">
      <c r="A180" t="s">
        <v>813</v>
      </c>
      <c r="B180" t="s">
        <v>786</v>
      </c>
      <c r="C180" t="s">
        <v>300</v>
      </c>
      <c r="D180" t="s">
        <v>787</v>
      </c>
      <c r="E180" t="s">
        <v>788</v>
      </c>
      <c r="F180">
        <v>2017</v>
      </c>
      <c r="G180" t="s">
        <v>344</v>
      </c>
      <c r="I180" t="s">
        <v>334</v>
      </c>
      <c r="K180" t="s">
        <v>178</v>
      </c>
      <c r="L180" t="s">
        <v>177</v>
      </c>
      <c r="M180" t="s">
        <v>1125</v>
      </c>
      <c r="N180" t="s">
        <v>179</v>
      </c>
      <c r="O180" t="s">
        <v>190</v>
      </c>
      <c r="P180" t="s">
        <v>789</v>
      </c>
      <c r="Q180" t="s">
        <v>190</v>
      </c>
      <c r="S180" t="s">
        <v>204</v>
      </c>
      <c r="U180" t="s">
        <v>1117</v>
      </c>
      <c r="V180" t="s">
        <v>267</v>
      </c>
      <c r="W180" t="s">
        <v>790</v>
      </c>
      <c r="X180" t="s">
        <v>269</v>
      </c>
      <c r="AE180" t="s">
        <v>273</v>
      </c>
      <c r="AG180" t="s">
        <v>275</v>
      </c>
      <c r="AI180" t="s">
        <v>345</v>
      </c>
      <c r="AK180">
        <v>5</v>
      </c>
      <c r="AM180">
        <v>15</v>
      </c>
      <c r="AO180" t="s">
        <v>1105</v>
      </c>
      <c r="AP180" t="s">
        <v>281</v>
      </c>
      <c r="AQ180" t="s">
        <v>283</v>
      </c>
      <c r="AR180" t="s">
        <v>476</v>
      </c>
      <c r="AS180" t="s">
        <v>1094</v>
      </c>
      <c r="AT180" t="s">
        <v>313</v>
      </c>
      <c r="AU180" t="s">
        <v>689</v>
      </c>
      <c r="AV180" s="30">
        <v>2</v>
      </c>
      <c r="AW180" t="s">
        <v>287</v>
      </c>
      <c r="AX180">
        <v>50</v>
      </c>
      <c r="AZ180" t="s">
        <v>829</v>
      </c>
      <c r="BA180">
        <v>2</v>
      </c>
      <c r="BB180" t="s">
        <v>289</v>
      </c>
      <c r="BC180" t="s">
        <v>243</v>
      </c>
      <c r="BE180" t="s">
        <v>794</v>
      </c>
      <c r="BF180" t="s">
        <v>292</v>
      </c>
      <c r="BG180" t="s">
        <v>298</v>
      </c>
      <c r="BH180" t="s">
        <v>281</v>
      </c>
      <c r="BI180">
        <v>2</v>
      </c>
      <c r="BJ180" t="s">
        <v>797</v>
      </c>
      <c r="BL180" t="s">
        <v>800</v>
      </c>
      <c r="BM180" t="s">
        <v>801</v>
      </c>
      <c r="BN180" t="str">
        <f t="shared" si="18"/>
        <v>CPG_CPMG</v>
      </c>
      <c r="BO180" t="s">
        <v>267</v>
      </c>
      <c r="BQ180">
        <v>6</v>
      </c>
      <c r="BR180">
        <v>6</v>
      </c>
      <c r="BS180" s="35">
        <v>2.36</v>
      </c>
      <c r="BT180" s="35"/>
      <c r="BU180" s="35">
        <v>1.19</v>
      </c>
      <c r="BV180" s="35"/>
      <c r="BW180" s="35">
        <v>4.12</v>
      </c>
      <c r="BX180" s="35"/>
      <c r="BY180" s="35">
        <v>2.16</v>
      </c>
      <c r="CB180" t="s">
        <v>268</v>
      </c>
      <c r="CD180" t="s">
        <v>268</v>
      </c>
      <c r="CE180" t="s">
        <v>191</v>
      </c>
      <c r="CF180" t="s">
        <v>309</v>
      </c>
      <c r="CG180" t="s">
        <v>268</v>
      </c>
      <c r="CI180" t="s">
        <v>267</v>
      </c>
      <c r="CJ180" t="s">
        <v>802</v>
      </c>
      <c r="CK180" s="30">
        <f t="shared" si="11"/>
        <v>0</v>
      </c>
      <c r="CL180">
        <f t="shared" si="12"/>
        <v>6</v>
      </c>
    </row>
    <row r="181" spans="1:90" hidden="1" x14ac:dyDescent="0.35">
      <c r="A181" t="s">
        <v>814</v>
      </c>
      <c r="B181" t="s">
        <v>786</v>
      </c>
      <c r="C181" t="s">
        <v>300</v>
      </c>
      <c r="D181" t="s">
        <v>787</v>
      </c>
      <c r="E181" t="s">
        <v>788</v>
      </c>
      <c r="F181">
        <v>2017</v>
      </c>
      <c r="G181" t="s">
        <v>175</v>
      </c>
      <c r="I181" t="s">
        <v>335</v>
      </c>
      <c r="K181" t="s">
        <v>178</v>
      </c>
      <c r="L181" t="s">
        <v>177</v>
      </c>
      <c r="M181" t="s">
        <v>1125</v>
      </c>
      <c r="N181" t="s">
        <v>179</v>
      </c>
      <c r="O181" t="s">
        <v>190</v>
      </c>
      <c r="P181" t="s">
        <v>789</v>
      </c>
      <c r="Q181" t="s">
        <v>190</v>
      </c>
      <c r="S181" t="s">
        <v>204</v>
      </c>
      <c r="U181" t="s">
        <v>1117</v>
      </c>
      <c r="V181" t="s">
        <v>267</v>
      </c>
      <c r="W181" t="s">
        <v>791</v>
      </c>
      <c r="X181" t="s">
        <v>269</v>
      </c>
      <c r="AE181" t="s">
        <v>273</v>
      </c>
      <c r="AG181" t="s">
        <v>275</v>
      </c>
      <c r="AI181" t="s">
        <v>345</v>
      </c>
      <c r="AK181">
        <v>5</v>
      </c>
      <c r="AM181">
        <v>15</v>
      </c>
      <c r="AO181" t="s">
        <v>1105</v>
      </c>
      <c r="AP181" t="s">
        <v>281</v>
      </c>
      <c r="AQ181" t="s">
        <v>283</v>
      </c>
      <c r="AR181" t="s">
        <v>476</v>
      </c>
      <c r="AS181" t="s">
        <v>1094</v>
      </c>
      <c r="AT181" t="s">
        <v>313</v>
      </c>
      <c r="AU181" t="s">
        <v>689</v>
      </c>
      <c r="AV181" s="30">
        <v>2</v>
      </c>
      <c r="AW181" t="s">
        <v>287</v>
      </c>
      <c r="AX181">
        <v>50</v>
      </c>
      <c r="AZ181" t="s">
        <v>829</v>
      </c>
      <c r="BA181">
        <v>2</v>
      </c>
      <c r="BB181" t="s">
        <v>289</v>
      </c>
      <c r="BC181" t="s">
        <v>243</v>
      </c>
      <c r="BE181" t="s">
        <v>398</v>
      </c>
      <c r="BF181" t="s">
        <v>292</v>
      </c>
      <c r="BG181" t="s">
        <v>298</v>
      </c>
      <c r="BH181" t="s">
        <v>281</v>
      </c>
      <c r="BI181">
        <v>2</v>
      </c>
      <c r="BJ181" t="s">
        <v>797</v>
      </c>
      <c r="BL181" t="s">
        <v>798</v>
      </c>
      <c r="BM181" t="s">
        <v>799</v>
      </c>
      <c r="BN181" t="str">
        <f t="shared" si="18"/>
        <v>CG_MG</v>
      </c>
      <c r="BO181" t="s">
        <v>267</v>
      </c>
      <c r="BQ181">
        <v>6</v>
      </c>
      <c r="BR181">
        <v>6</v>
      </c>
      <c r="BS181" s="35">
        <v>1.73</v>
      </c>
      <c r="BT181" s="35"/>
      <c r="BU181" s="35">
        <v>1.47</v>
      </c>
      <c r="BV181" s="35"/>
      <c r="BW181" s="35">
        <v>5.43</v>
      </c>
      <c r="BX181" s="35"/>
      <c r="BY181" s="35">
        <v>2.75</v>
      </c>
      <c r="CB181" t="s">
        <v>268</v>
      </c>
      <c r="CD181" t="s">
        <v>268</v>
      </c>
      <c r="CE181" t="s">
        <v>191</v>
      </c>
      <c r="CF181" t="s">
        <v>309</v>
      </c>
      <c r="CG181" t="s">
        <v>268</v>
      </c>
      <c r="CI181" t="s">
        <v>267</v>
      </c>
      <c r="CJ181" t="s">
        <v>802</v>
      </c>
      <c r="CK181" s="30">
        <f t="shared" si="11"/>
        <v>0</v>
      </c>
      <c r="CL181">
        <f t="shared" si="12"/>
        <v>6</v>
      </c>
    </row>
    <row r="182" spans="1:90" hidden="1" x14ac:dyDescent="0.35">
      <c r="A182" t="s">
        <v>815</v>
      </c>
      <c r="B182" t="s">
        <v>786</v>
      </c>
      <c r="C182" t="s">
        <v>300</v>
      </c>
      <c r="D182" t="s">
        <v>787</v>
      </c>
      <c r="E182" t="s">
        <v>788</v>
      </c>
      <c r="F182">
        <v>2017</v>
      </c>
      <c r="G182" t="s">
        <v>344</v>
      </c>
      <c r="I182" t="s">
        <v>335</v>
      </c>
      <c r="K182" t="s">
        <v>178</v>
      </c>
      <c r="L182" t="s">
        <v>177</v>
      </c>
      <c r="M182" t="s">
        <v>1125</v>
      </c>
      <c r="N182" t="s">
        <v>179</v>
      </c>
      <c r="O182" t="s">
        <v>190</v>
      </c>
      <c r="P182" t="s">
        <v>789</v>
      </c>
      <c r="Q182" t="s">
        <v>190</v>
      </c>
      <c r="S182" t="s">
        <v>204</v>
      </c>
      <c r="U182" t="s">
        <v>1117</v>
      </c>
      <c r="V182" t="s">
        <v>267</v>
      </c>
      <c r="W182" t="s">
        <v>790</v>
      </c>
      <c r="X182" t="s">
        <v>269</v>
      </c>
      <c r="AE182" t="s">
        <v>273</v>
      </c>
      <c r="AG182" t="s">
        <v>275</v>
      </c>
      <c r="AI182" t="s">
        <v>345</v>
      </c>
      <c r="AK182">
        <v>5</v>
      </c>
      <c r="AM182">
        <v>15</v>
      </c>
      <c r="AO182" t="s">
        <v>1105</v>
      </c>
      <c r="AP182" t="s">
        <v>281</v>
      </c>
      <c r="AQ182" t="s">
        <v>283</v>
      </c>
      <c r="AR182" t="s">
        <v>476</v>
      </c>
      <c r="AS182" t="s">
        <v>1094</v>
      </c>
      <c r="AT182" t="s">
        <v>313</v>
      </c>
      <c r="AU182" t="s">
        <v>689</v>
      </c>
      <c r="AV182" s="30">
        <v>2</v>
      </c>
      <c r="AW182" t="s">
        <v>287</v>
      </c>
      <c r="AX182">
        <v>50</v>
      </c>
      <c r="AZ182" t="s">
        <v>829</v>
      </c>
      <c r="BA182">
        <v>2</v>
      </c>
      <c r="BB182" t="s">
        <v>289</v>
      </c>
      <c r="BC182" t="s">
        <v>243</v>
      </c>
      <c r="BE182" t="s">
        <v>398</v>
      </c>
      <c r="BF182" t="s">
        <v>292</v>
      </c>
      <c r="BG182" t="s">
        <v>298</v>
      </c>
      <c r="BH182" t="s">
        <v>281</v>
      </c>
      <c r="BI182">
        <v>2</v>
      </c>
      <c r="BJ182" t="s">
        <v>797</v>
      </c>
      <c r="BL182" t="s">
        <v>800</v>
      </c>
      <c r="BM182" t="s">
        <v>801</v>
      </c>
      <c r="BN182" t="str">
        <f t="shared" si="18"/>
        <v>CPG_CPMG</v>
      </c>
      <c r="BO182" t="s">
        <v>267</v>
      </c>
      <c r="BQ182">
        <v>6</v>
      </c>
      <c r="BR182">
        <v>6</v>
      </c>
      <c r="BS182" s="35">
        <v>1.53</v>
      </c>
      <c r="BT182" s="35"/>
      <c r="BU182" s="35">
        <v>0.98</v>
      </c>
      <c r="BV182" s="35"/>
      <c r="BW182" s="35">
        <v>6.2</v>
      </c>
      <c r="BX182" s="35"/>
      <c r="BY182" s="35">
        <v>4.07</v>
      </c>
      <c r="CB182" t="s">
        <v>268</v>
      </c>
      <c r="CD182" t="s">
        <v>268</v>
      </c>
      <c r="CE182" t="s">
        <v>191</v>
      </c>
      <c r="CF182" t="s">
        <v>309</v>
      </c>
      <c r="CG182" t="s">
        <v>268</v>
      </c>
      <c r="CI182" t="s">
        <v>267</v>
      </c>
      <c r="CJ182" t="s">
        <v>802</v>
      </c>
      <c r="CK182" s="30">
        <f t="shared" si="11"/>
        <v>0</v>
      </c>
      <c r="CL182">
        <f t="shared" si="12"/>
        <v>6</v>
      </c>
    </row>
    <row r="183" spans="1:90" hidden="1" x14ac:dyDescent="0.35">
      <c r="A183" t="s">
        <v>816</v>
      </c>
      <c r="B183" t="s">
        <v>786</v>
      </c>
      <c r="C183" t="s">
        <v>300</v>
      </c>
      <c r="D183" t="s">
        <v>787</v>
      </c>
      <c r="E183" t="s">
        <v>788</v>
      </c>
      <c r="F183">
        <v>2017</v>
      </c>
      <c r="G183" t="s">
        <v>175</v>
      </c>
      <c r="I183" t="s">
        <v>491</v>
      </c>
      <c r="K183" t="s">
        <v>178</v>
      </c>
      <c r="L183" t="s">
        <v>177</v>
      </c>
      <c r="M183" t="s">
        <v>1125</v>
      </c>
      <c r="N183" t="s">
        <v>179</v>
      </c>
      <c r="O183" t="s">
        <v>190</v>
      </c>
      <c r="P183" t="s">
        <v>789</v>
      </c>
      <c r="Q183" t="s">
        <v>190</v>
      </c>
      <c r="S183" t="s">
        <v>204</v>
      </c>
      <c r="U183" t="s">
        <v>1117</v>
      </c>
      <c r="V183" t="s">
        <v>267</v>
      </c>
      <c r="W183" t="s">
        <v>791</v>
      </c>
      <c r="X183" t="s">
        <v>269</v>
      </c>
      <c r="AE183" t="s">
        <v>273</v>
      </c>
      <c r="AG183" t="s">
        <v>275</v>
      </c>
      <c r="AI183" t="s">
        <v>345</v>
      </c>
      <c r="AK183">
        <v>5</v>
      </c>
      <c r="AM183">
        <v>15</v>
      </c>
      <c r="AO183" t="s">
        <v>1105</v>
      </c>
      <c r="AP183" t="s">
        <v>281</v>
      </c>
      <c r="AQ183" t="s">
        <v>283</v>
      </c>
      <c r="AR183" t="s">
        <v>476</v>
      </c>
      <c r="AS183" t="s">
        <v>1094</v>
      </c>
      <c r="AT183" t="s">
        <v>313</v>
      </c>
      <c r="AU183" t="s">
        <v>689</v>
      </c>
      <c r="AV183" s="30">
        <v>2</v>
      </c>
      <c r="AW183" t="s">
        <v>287</v>
      </c>
      <c r="AX183">
        <v>50</v>
      </c>
      <c r="AZ183" t="s">
        <v>829</v>
      </c>
      <c r="BA183">
        <v>2</v>
      </c>
      <c r="BB183" t="s">
        <v>289</v>
      </c>
      <c r="BC183" t="s">
        <v>243</v>
      </c>
      <c r="BE183" t="s">
        <v>796</v>
      </c>
      <c r="BF183" t="s">
        <v>294</v>
      </c>
      <c r="BG183" t="s">
        <v>300</v>
      </c>
      <c r="BH183" t="s">
        <v>281</v>
      </c>
      <c r="BI183">
        <v>2</v>
      </c>
      <c r="BJ183" t="s">
        <v>797</v>
      </c>
      <c r="BL183" t="s">
        <v>798</v>
      </c>
      <c r="BM183" t="s">
        <v>799</v>
      </c>
      <c r="BN183" t="str">
        <f t="shared" si="18"/>
        <v>CG_MG</v>
      </c>
      <c r="BO183" t="s">
        <v>267</v>
      </c>
      <c r="BQ183">
        <v>6</v>
      </c>
      <c r="BR183">
        <v>6</v>
      </c>
      <c r="BS183" s="35">
        <v>84.33</v>
      </c>
      <c r="BT183" s="35"/>
      <c r="BU183" s="35">
        <v>29.34</v>
      </c>
      <c r="BV183" s="35"/>
      <c r="BW183" s="35">
        <v>122.83</v>
      </c>
      <c r="BX183" s="35"/>
      <c r="BY183" s="35">
        <v>17.5</v>
      </c>
      <c r="CB183" t="s">
        <v>268</v>
      </c>
      <c r="CD183" t="s">
        <v>268</v>
      </c>
      <c r="CE183" t="s">
        <v>191</v>
      </c>
      <c r="CF183" t="s">
        <v>309</v>
      </c>
      <c r="CG183" t="s">
        <v>268</v>
      </c>
      <c r="CI183" t="s">
        <v>267</v>
      </c>
      <c r="CJ183" t="s">
        <v>802</v>
      </c>
      <c r="CK183" s="30">
        <f t="shared" si="11"/>
        <v>0</v>
      </c>
      <c r="CL183">
        <f t="shared" si="12"/>
        <v>6</v>
      </c>
    </row>
    <row r="184" spans="1:90" hidden="1" x14ac:dyDescent="0.35">
      <c r="A184" t="s">
        <v>817</v>
      </c>
      <c r="B184" t="s">
        <v>786</v>
      </c>
      <c r="C184" t="s">
        <v>300</v>
      </c>
      <c r="D184" t="s">
        <v>787</v>
      </c>
      <c r="E184" t="s">
        <v>788</v>
      </c>
      <c r="F184">
        <v>2017</v>
      </c>
      <c r="G184" t="s">
        <v>344</v>
      </c>
      <c r="I184" t="s">
        <v>491</v>
      </c>
      <c r="K184" t="s">
        <v>178</v>
      </c>
      <c r="L184" t="s">
        <v>177</v>
      </c>
      <c r="M184" t="s">
        <v>1125</v>
      </c>
      <c r="N184" t="s">
        <v>179</v>
      </c>
      <c r="O184" t="s">
        <v>190</v>
      </c>
      <c r="P184" t="s">
        <v>789</v>
      </c>
      <c r="Q184" t="s">
        <v>190</v>
      </c>
      <c r="S184" t="s">
        <v>204</v>
      </c>
      <c r="U184" t="s">
        <v>1117</v>
      </c>
      <c r="V184" t="s">
        <v>267</v>
      </c>
      <c r="W184" t="s">
        <v>790</v>
      </c>
      <c r="X184" t="s">
        <v>269</v>
      </c>
      <c r="AE184" t="s">
        <v>273</v>
      </c>
      <c r="AG184" t="s">
        <v>275</v>
      </c>
      <c r="AI184" t="s">
        <v>345</v>
      </c>
      <c r="AK184">
        <v>5</v>
      </c>
      <c r="AM184">
        <v>15</v>
      </c>
      <c r="AO184" t="s">
        <v>1105</v>
      </c>
      <c r="AP184" t="s">
        <v>281</v>
      </c>
      <c r="AQ184" t="s">
        <v>283</v>
      </c>
      <c r="AR184" t="s">
        <v>476</v>
      </c>
      <c r="AS184" t="s">
        <v>1094</v>
      </c>
      <c r="AT184" t="s">
        <v>313</v>
      </c>
      <c r="AU184" t="s">
        <v>689</v>
      </c>
      <c r="AV184" s="30">
        <v>2</v>
      </c>
      <c r="AW184" t="s">
        <v>287</v>
      </c>
      <c r="AX184">
        <v>50</v>
      </c>
      <c r="AZ184" t="s">
        <v>829</v>
      </c>
      <c r="BA184">
        <v>2</v>
      </c>
      <c r="BB184" t="s">
        <v>289</v>
      </c>
      <c r="BC184" t="s">
        <v>243</v>
      </c>
      <c r="BE184" t="s">
        <v>796</v>
      </c>
      <c r="BF184" t="s">
        <v>294</v>
      </c>
      <c r="BG184" t="s">
        <v>300</v>
      </c>
      <c r="BH184" t="s">
        <v>281</v>
      </c>
      <c r="BI184">
        <v>2</v>
      </c>
      <c r="BJ184" t="s">
        <v>797</v>
      </c>
      <c r="BL184" t="s">
        <v>800</v>
      </c>
      <c r="BM184" t="s">
        <v>801</v>
      </c>
      <c r="BN184" t="str">
        <f t="shared" si="18"/>
        <v>CPG_CPMG</v>
      </c>
      <c r="BO184" t="s">
        <v>267</v>
      </c>
      <c r="BQ184">
        <v>6</v>
      </c>
      <c r="BR184">
        <v>6</v>
      </c>
      <c r="BS184" s="35">
        <v>93.16</v>
      </c>
      <c r="BT184" s="35"/>
      <c r="BU184" s="35">
        <v>33.6</v>
      </c>
      <c r="BV184" s="35"/>
      <c r="BW184" s="35">
        <v>124.33</v>
      </c>
      <c r="BX184" s="35"/>
      <c r="BY184" s="35">
        <v>17.350000000000001</v>
      </c>
      <c r="CB184" t="s">
        <v>268</v>
      </c>
      <c r="CD184" t="s">
        <v>268</v>
      </c>
      <c r="CE184" t="s">
        <v>191</v>
      </c>
      <c r="CF184" t="s">
        <v>309</v>
      </c>
      <c r="CG184" t="s">
        <v>268</v>
      </c>
      <c r="CI184" t="s">
        <v>267</v>
      </c>
      <c r="CJ184" t="s">
        <v>802</v>
      </c>
      <c r="CK184" s="30">
        <f t="shared" si="11"/>
        <v>0</v>
      </c>
      <c r="CL184">
        <f t="shared" si="12"/>
        <v>6</v>
      </c>
    </row>
    <row r="185" spans="1:90" hidden="1" x14ac:dyDescent="0.35">
      <c r="A185" t="s">
        <v>818</v>
      </c>
      <c r="B185" t="s">
        <v>786</v>
      </c>
      <c r="C185" t="s">
        <v>300</v>
      </c>
      <c r="D185" t="s">
        <v>787</v>
      </c>
      <c r="E185" t="s">
        <v>788</v>
      </c>
      <c r="F185">
        <v>2017</v>
      </c>
      <c r="G185" t="s">
        <v>175</v>
      </c>
      <c r="I185" t="s">
        <v>492</v>
      </c>
      <c r="K185" t="s">
        <v>178</v>
      </c>
      <c r="L185" t="s">
        <v>177</v>
      </c>
      <c r="M185" t="s">
        <v>1125</v>
      </c>
      <c r="N185" t="s">
        <v>179</v>
      </c>
      <c r="O185" t="s">
        <v>190</v>
      </c>
      <c r="P185" t="s">
        <v>789</v>
      </c>
      <c r="Q185" t="s">
        <v>190</v>
      </c>
      <c r="S185" t="s">
        <v>204</v>
      </c>
      <c r="U185" t="s">
        <v>1117</v>
      </c>
      <c r="V185" t="s">
        <v>267</v>
      </c>
      <c r="W185" t="s">
        <v>791</v>
      </c>
      <c r="X185" t="s">
        <v>269</v>
      </c>
      <c r="AE185" t="s">
        <v>273</v>
      </c>
      <c r="AG185" t="s">
        <v>275</v>
      </c>
      <c r="AI185" t="s">
        <v>345</v>
      </c>
      <c r="AK185">
        <v>5</v>
      </c>
      <c r="AM185">
        <v>15</v>
      </c>
      <c r="AO185" t="s">
        <v>1105</v>
      </c>
      <c r="AP185" t="s">
        <v>281</v>
      </c>
      <c r="AQ185" t="s">
        <v>283</v>
      </c>
      <c r="AR185" t="s">
        <v>476</v>
      </c>
      <c r="AS185" t="s">
        <v>1094</v>
      </c>
      <c r="AT185" t="s">
        <v>313</v>
      </c>
      <c r="AU185" t="s">
        <v>689</v>
      </c>
      <c r="AV185" s="30">
        <v>2</v>
      </c>
      <c r="AW185" t="s">
        <v>287</v>
      </c>
      <c r="AX185">
        <v>50</v>
      </c>
      <c r="AZ185" t="s">
        <v>829</v>
      </c>
      <c r="BA185">
        <v>2</v>
      </c>
      <c r="BB185" t="s">
        <v>289</v>
      </c>
      <c r="BC185" t="s">
        <v>243</v>
      </c>
      <c r="BE185" t="s">
        <v>434</v>
      </c>
      <c r="BF185" t="s">
        <v>291</v>
      </c>
      <c r="BG185" t="s">
        <v>297</v>
      </c>
      <c r="BH185" t="s">
        <v>281</v>
      </c>
      <c r="BI185">
        <v>2</v>
      </c>
      <c r="BJ185" t="s">
        <v>797</v>
      </c>
      <c r="BL185" t="s">
        <v>798</v>
      </c>
      <c r="BM185" t="s">
        <v>799</v>
      </c>
      <c r="BN185" t="str">
        <f t="shared" si="18"/>
        <v>CG_MG</v>
      </c>
      <c r="BO185" t="s">
        <v>267</v>
      </c>
      <c r="BQ185">
        <v>6</v>
      </c>
      <c r="BR185">
        <v>6</v>
      </c>
      <c r="BS185" s="35">
        <v>173.16</v>
      </c>
      <c r="BT185" s="35"/>
      <c r="BU185" s="35">
        <v>28.58</v>
      </c>
      <c r="BV185" s="35"/>
      <c r="BW185" s="35">
        <v>192.83</v>
      </c>
      <c r="BX185" s="35"/>
      <c r="BY185" s="35">
        <v>18.14</v>
      </c>
      <c r="CB185" t="s">
        <v>268</v>
      </c>
      <c r="CD185" t="s">
        <v>268</v>
      </c>
      <c r="CE185" t="s">
        <v>191</v>
      </c>
      <c r="CF185" t="s">
        <v>309</v>
      </c>
      <c r="CG185" t="s">
        <v>268</v>
      </c>
      <c r="CI185" t="s">
        <v>267</v>
      </c>
      <c r="CJ185" t="s">
        <v>802</v>
      </c>
      <c r="CK185" s="30">
        <f t="shared" si="11"/>
        <v>0</v>
      </c>
      <c r="CL185">
        <f t="shared" si="12"/>
        <v>6</v>
      </c>
    </row>
    <row r="186" spans="1:90" hidden="1" x14ac:dyDescent="0.35">
      <c r="A186" t="s">
        <v>819</v>
      </c>
      <c r="B186" t="s">
        <v>786</v>
      </c>
      <c r="C186" t="s">
        <v>300</v>
      </c>
      <c r="D186" t="s">
        <v>787</v>
      </c>
      <c r="E186" t="s">
        <v>788</v>
      </c>
      <c r="F186">
        <v>2017</v>
      </c>
      <c r="G186" t="s">
        <v>344</v>
      </c>
      <c r="I186" t="s">
        <v>492</v>
      </c>
      <c r="K186" t="s">
        <v>178</v>
      </c>
      <c r="L186" t="s">
        <v>177</v>
      </c>
      <c r="M186" t="s">
        <v>1125</v>
      </c>
      <c r="N186" t="s">
        <v>179</v>
      </c>
      <c r="O186" t="s">
        <v>190</v>
      </c>
      <c r="P186" t="s">
        <v>789</v>
      </c>
      <c r="Q186" t="s">
        <v>190</v>
      </c>
      <c r="S186" t="s">
        <v>204</v>
      </c>
      <c r="U186" t="s">
        <v>1117</v>
      </c>
      <c r="V186" t="s">
        <v>267</v>
      </c>
      <c r="W186" t="s">
        <v>790</v>
      </c>
      <c r="X186" t="s">
        <v>269</v>
      </c>
      <c r="AE186" t="s">
        <v>273</v>
      </c>
      <c r="AG186" t="s">
        <v>275</v>
      </c>
      <c r="AI186" t="s">
        <v>345</v>
      </c>
      <c r="AK186">
        <v>5</v>
      </c>
      <c r="AM186">
        <v>15</v>
      </c>
      <c r="AO186" t="s">
        <v>1105</v>
      </c>
      <c r="AP186" t="s">
        <v>281</v>
      </c>
      <c r="AQ186" t="s">
        <v>283</v>
      </c>
      <c r="AR186" t="s">
        <v>476</v>
      </c>
      <c r="AS186" t="s">
        <v>1094</v>
      </c>
      <c r="AT186" t="s">
        <v>313</v>
      </c>
      <c r="AU186" t="s">
        <v>689</v>
      </c>
      <c r="AV186" s="30">
        <v>2</v>
      </c>
      <c r="AW186" t="s">
        <v>287</v>
      </c>
      <c r="AX186">
        <v>50</v>
      </c>
      <c r="AZ186" t="s">
        <v>829</v>
      </c>
      <c r="BA186">
        <v>2</v>
      </c>
      <c r="BB186" t="s">
        <v>289</v>
      </c>
      <c r="BC186" t="s">
        <v>243</v>
      </c>
      <c r="BE186" t="s">
        <v>434</v>
      </c>
      <c r="BF186" t="s">
        <v>291</v>
      </c>
      <c r="BG186" t="s">
        <v>297</v>
      </c>
      <c r="BH186" t="s">
        <v>281</v>
      </c>
      <c r="BI186">
        <v>2</v>
      </c>
      <c r="BJ186" t="s">
        <v>797</v>
      </c>
      <c r="BL186" t="s">
        <v>800</v>
      </c>
      <c r="BM186" t="s">
        <v>801</v>
      </c>
      <c r="BN186" t="str">
        <f t="shared" si="18"/>
        <v>CPG_CPMG</v>
      </c>
      <c r="BO186" t="s">
        <v>267</v>
      </c>
      <c r="BQ186">
        <v>6</v>
      </c>
      <c r="BR186">
        <v>6</v>
      </c>
      <c r="BS186" s="35">
        <v>188.16</v>
      </c>
      <c r="BT186" s="35"/>
      <c r="BU186" s="35">
        <v>16.920000000000002</v>
      </c>
      <c r="BV186" s="35"/>
      <c r="BW186" s="35">
        <v>217.83</v>
      </c>
      <c r="BX186" s="35"/>
      <c r="BY186" s="35">
        <v>27.94</v>
      </c>
      <c r="CB186" t="s">
        <v>268</v>
      </c>
      <c r="CD186" t="s">
        <v>268</v>
      </c>
      <c r="CE186" t="s">
        <v>191</v>
      </c>
      <c r="CF186" t="s">
        <v>309</v>
      </c>
      <c r="CG186" t="s">
        <v>268</v>
      </c>
      <c r="CI186" t="s">
        <v>267</v>
      </c>
      <c r="CJ186" t="s">
        <v>802</v>
      </c>
      <c r="CK186" s="30">
        <f t="shared" si="11"/>
        <v>0</v>
      </c>
      <c r="CL186">
        <f t="shared" si="12"/>
        <v>6</v>
      </c>
    </row>
    <row r="187" spans="1:90" hidden="1" x14ac:dyDescent="0.35">
      <c r="A187" t="s">
        <v>820</v>
      </c>
      <c r="B187" t="s">
        <v>786</v>
      </c>
      <c r="C187" t="s">
        <v>300</v>
      </c>
      <c r="D187" t="s">
        <v>787</v>
      </c>
      <c r="E187" t="s">
        <v>788</v>
      </c>
      <c r="F187">
        <v>2017</v>
      </c>
      <c r="G187" t="s">
        <v>175</v>
      </c>
      <c r="I187" t="s">
        <v>493</v>
      </c>
      <c r="K187" t="s">
        <v>178</v>
      </c>
      <c r="L187" t="s">
        <v>177</v>
      </c>
      <c r="M187" t="s">
        <v>1125</v>
      </c>
      <c r="N187" t="s">
        <v>179</v>
      </c>
      <c r="O187" t="s">
        <v>190</v>
      </c>
      <c r="P187" t="s">
        <v>789</v>
      </c>
      <c r="Q187" t="s">
        <v>190</v>
      </c>
      <c r="S187" t="s">
        <v>204</v>
      </c>
      <c r="U187" t="s">
        <v>1117</v>
      </c>
      <c r="V187" t="s">
        <v>267</v>
      </c>
      <c r="W187" t="s">
        <v>791</v>
      </c>
      <c r="X187" t="s">
        <v>269</v>
      </c>
      <c r="AE187" t="s">
        <v>273</v>
      </c>
      <c r="AG187" t="s">
        <v>275</v>
      </c>
      <c r="AI187" t="s">
        <v>345</v>
      </c>
      <c r="AK187">
        <v>5</v>
      </c>
      <c r="AM187">
        <v>15</v>
      </c>
      <c r="AO187" t="s">
        <v>1105</v>
      </c>
      <c r="AP187" t="s">
        <v>281</v>
      </c>
      <c r="AQ187" t="s">
        <v>283</v>
      </c>
      <c r="AR187" t="s">
        <v>476</v>
      </c>
      <c r="AS187" t="s">
        <v>1094</v>
      </c>
      <c r="AT187" t="s">
        <v>313</v>
      </c>
      <c r="AU187" t="s">
        <v>689</v>
      </c>
      <c r="AV187" s="30">
        <v>2</v>
      </c>
      <c r="AW187" t="s">
        <v>287</v>
      </c>
      <c r="AX187">
        <v>50</v>
      </c>
      <c r="AZ187" t="s">
        <v>829</v>
      </c>
      <c r="BA187">
        <v>2</v>
      </c>
      <c r="BB187" t="s">
        <v>289</v>
      </c>
      <c r="BC187" t="s">
        <v>243</v>
      </c>
      <c r="BE187" t="s">
        <v>559</v>
      </c>
      <c r="BF187" t="s">
        <v>291</v>
      </c>
      <c r="BG187" t="s">
        <v>297</v>
      </c>
      <c r="BH187" t="s">
        <v>281</v>
      </c>
      <c r="BI187">
        <v>2</v>
      </c>
      <c r="BJ187" t="s">
        <v>370</v>
      </c>
      <c r="BK187" t="s">
        <v>803</v>
      </c>
      <c r="BL187" t="s">
        <v>798</v>
      </c>
      <c r="BM187" t="s">
        <v>799</v>
      </c>
      <c r="BN187" t="str">
        <f t="shared" ref="BN187:BN229" si="25">_xlfn.CONCAT(BL187:BM187)</f>
        <v>CG_MG</v>
      </c>
      <c r="BO187" t="s">
        <v>268</v>
      </c>
      <c r="BQ187">
        <v>6</v>
      </c>
      <c r="BR187">
        <v>6</v>
      </c>
      <c r="BS187" s="35">
        <v>54.751286450000002</v>
      </c>
      <c r="BT187" s="35">
        <v>13.444883669999999</v>
      </c>
      <c r="BU187" s="35">
        <v>32.933104630000003</v>
      </c>
      <c r="BV187" s="35"/>
      <c r="BW187" s="35">
        <v>11.114922809999999</v>
      </c>
      <c r="BX187" s="35">
        <v>5.3779534660000001</v>
      </c>
      <c r="BY187" s="35">
        <v>13.17324185</v>
      </c>
      <c r="CB187" t="s">
        <v>268</v>
      </c>
      <c r="CD187" t="s">
        <v>268</v>
      </c>
      <c r="CE187" t="s">
        <v>191</v>
      </c>
      <c r="CF187" t="s">
        <v>309</v>
      </c>
      <c r="CG187" t="s">
        <v>268</v>
      </c>
      <c r="CI187" t="s">
        <v>267</v>
      </c>
      <c r="CJ187" t="s">
        <v>802</v>
      </c>
      <c r="CK187" s="30">
        <f t="shared" si="11"/>
        <v>0</v>
      </c>
      <c r="CL187">
        <f t="shared" si="12"/>
        <v>6</v>
      </c>
    </row>
    <row r="188" spans="1:90" hidden="1" x14ac:dyDescent="0.35">
      <c r="A188" t="s">
        <v>821</v>
      </c>
      <c r="B188" t="s">
        <v>786</v>
      </c>
      <c r="C188" t="s">
        <v>300</v>
      </c>
      <c r="D188" t="s">
        <v>787</v>
      </c>
      <c r="E188" t="s">
        <v>788</v>
      </c>
      <c r="F188">
        <v>2017</v>
      </c>
      <c r="G188" t="s">
        <v>344</v>
      </c>
      <c r="I188" t="s">
        <v>493</v>
      </c>
      <c r="K188" t="s">
        <v>178</v>
      </c>
      <c r="L188" t="s">
        <v>177</v>
      </c>
      <c r="M188" t="s">
        <v>1125</v>
      </c>
      <c r="N188" t="s">
        <v>179</v>
      </c>
      <c r="O188" t="s">
        <v>190</v>
      </c>
      <c r="P188" t="s">
        <v>789</v>
      </c>
      <c r="Q188" t="s">
        <v>190</v>
      </c>
      <c r="S188" t="s">
        <v>204</v>
      </c>
      <c r="U188" t="s">
        <v>1117</v>
      </c>
      <c r="V188" t="s">
        <v>267</v>
      </c>
      <c r="W188" t="s">
        <v>790</v>
      </c>
      <c r="X188" t="s">
        <v>269</v>
      </c>
      <c r="AE188" t="s">
        <v>273</v>
      </c>
      <c r="AG188" t="s">
        <v>275</v>
      </c>
      <c r="AI188" t="s">
        <v>345</v>
      </c>
      <c r="AK188">
        <v>5</v>
      </c>
      <c r="AM188">
        <v>15</v>
      </c>
      <c r="AO188" t="s">
        <v>1105</v>
      </c>
      <c r="AP188" t="s">
        <v>281</v>
      </c>
      <c r="AQ188" t="s">
        <v>283</v>
      </c>
      <c r="AR188" t="s">
        <v>476</v>
      </c>
      <c r="AS188" t="s">
        <v>1094</v>
      </c>
      <c r="AT188" t="s">
        <v>313</v>
      </c>
      <c r="AU188" t="s">
        <v>689</v>
      </c>
      <c r="AV188" s="30">
        <v>2</v>
      </c>
      <c r="AW188" t="s">
        <v>287</v>
      </c>
      <c r="AX188">
        <v>50</v>
      </c>
      <c r="AZ188" t="s">
        <v>829</v>
      </c>
      <c r="BA188">
        <v>2</v>
      </c>
      <c r="BB188" t="s">
        <v>289</v>
      </c>
      <c r="BC188" t="s">
        <v>243</v>
      </c>
      <c r="BE188" t="s">
        <v>559</v>
      </c>
      <c r="BF188" t="s">
        <v>291</v>
      </c>
      <c r="BG188" t="s">
        <v>297</v>
      </c>
      <c r="BH188" t="s">
        <v>281</v>
      </c>
      <c r="BI188">
        <v>2</v>
      </c>
      <c r="BJ188" t="s">
        <v>370</v>
      </c>
      <c r="BK188" t="s">
        <v>803</v>
      </c>
      <c r="BL188" t="s">
        <v>800</v>
      </c>
      <c r="BM188" t="s">
        <v>801</v>
      </c>
      <c r="BN188" t="str">
        <f t="shared" si="25"/>
        <v>CPG_CPMG</v>
      </c>
      <c r="BO188" t="s">
        <v>268</v>
      </c>
      <c r="BQ188">
        <v>6</v>
      </c>
      <c r="BR188">
        <v>6</v>
      </c>
      <c r="BS188" s="35">
        <v>36.432246999999997</v>
      </c>
      <c r="BT188" s="35">
        <v>14.957433079999999</v>
      </c>
      <c r="BU188" s="35">
        <v>36.638078899999996</v>
      </c>
      <c r="BV188" s="35"/>
      <c r="BW188" s="35">
        <v>8.2332761580000007</v>
      </c>
      <c r="BX188" s="35">
        <v>2.60494621</v>
      </c>
      <c r="BY188" s="35">
        <v>6.3807890220000001</v>
      </c>
      <c r="CB188" t="s">
        <v>268</v>
      </c>
      <c r="CD188" t="s">
        <v>268</v>
      </c>
      <c r="CE188" t="s">
        <v>191</v>
      </c>
      <c r="CF188" t="s">
        <v>309</v>
      </c>
      <c r="CG188" t="s">
        <v>268</v>
      </c>
      <c r="CI188" t="s">
        <v>267</v>
      </c>
      <c r="CJ188" t="s">
        <v>802</v>
      </c>
      <c r="CK188" s="30">
        <f t="shared" si="11"/>
        <v>0</v>
      </c>
      <c r="CL188">
        <f t="shared" si="12"/>
        <v>6</v>
      </c>
    </row>
    <row r="189" spans="1:90" hidden="1" x14ac:dyDescent="0.35">
      <c r="A189" t="s">
        <v>846</v>
      </c>
      <c r="B189" t="s">
        <v>822</v>
      </c>
      <c r="C189" t="s">
        <v>823</v>
      </c>
      <c r="D189" t="s">
        <v>824</v>
      </c>
      <c r="E189" t="s">
        <v>825</v>
      </c>
      <c r="F189">
        <v>2018</v>
      </c>
      <c r="G189" t="s">
        <v>175</v>
      </c>
      <c r="I189" t="s">
        <v>176</v>
      </c>
      <c r="K189" t="s">
        <v>180</v>
      </c>
      <c r="L189" t="s">
        <v>181</v>
      </c>
      <c r="M189" t="s">
        <v>364</v>
      </c>
      <c r="N189" t="s">
        <v>179</v>
      </c>
      <c r="O189" t="s">
        <v>188</v>
      </c>
      <c r="P189" t="s">
        <v>827</v>
      </c>
      <c r="Q189" t="s">
        <v>188</v>
      </c>
      <c r="S189" t="s">
        <v>204</v>
      </c>
      <c r="U189" t="s">
        <v>1117</v>
      </c>
      <c r="V189" t="s">
        <v>268</v>
      </c>
      <c r="X189" t="s">
        <v>269</v>
      </c>
      <c r="AE189" t="s">
        <v>273</v>
      </c>
      <c r="AG189" t="s">
        <v>276</v>
      </c>
      <c r="AI189" t="s">
        <v>345</v>
      </c>
      <c r="AK189">
        <v>0.82</v>
      </c>
      <c r="AL189" t="s">
        <v>828</v>
      </c>
      <c r="AM189">
        <v>35</v>
      </c>
      <c r="AO189" t="s">
        <v>1106</v>
      </c>
      <c r="AP189" t="s">
        <v>282</v>
      </c>
      <c r="AQ189" t="s">
        <v>283</v>
      </c>
      <c r="AR189" t="s">
        <v>476</v>
      </c>
      <c r="AS189" t="s">
        <v>1094</v>
      </c>
      <c r="AT189" t="s">
        <v>715</v>
      </c>
      <c r="AU189">
        <v>19485</v>
      </c>
      <c r="AV189" s="30">
        <v>2</v>
      </c>
      <c r="AW189" t="s">
        <v>287</v>
      </c>
      <c r="AX189" t="s">
        <v>191</v>
      </c>
      <c r="AZ189" t="s">
        <v>829</v>
      </c>
      <c r="BA189">
        <v>0</v>
      </c>
      <c r="BB189" t="s">
        <v>290</v>
      </c>
      <c r="BC189" t="s">
        <v>261</v>
      </c>
      <c r="BE189" t="s">
        <v>559</v>
      </c>
      <c r="BF189" t="s">
        <v>291</v>
      </c>
      <c r="BG189" t="s">
        <v>297</v>
      </c>
      <c r="BH189" t="s">
        <v>282</v>
      </c>
      <c r="BI189">
        <v>2</v>
      </c>
      <c r="BJ189" t="s">
        <v>322</v>
      </c>
      <c r="BK189" t="s">
        <v>830</v>
      </c>
      <c r="BL189" t="s">
        <v>831</v>
      </c>
      <c r="BM189" t="s">
        <v>832</v>
      </c>
      <c r="BN189" t="str">
        <f t="shared" si="25"/>
        <v>NH-NoPAS/FST-NoPAS_NH-NoPAS/FST+PAS</v>
      </c>
      <c r="BO189" t="s">
        <v>268</v>
      </c>
      <c r="BQ189">
        <v>8</v>
      </c>
      <c r="BR189">
        <v>8</v>
      </c>
      <c r="BS189" s="35">
        <v>117.33333330000001</v>
      </c>
      <c r="BT189" s="35">
        <v>11.33333333</v>
      </c>
      <c r="BU189" s="35">
        <v>32.055507409999997</v>
      </c>
      <c r="BV189" s="35"/>
      <c r="BW189" s="35">
        <v>137.33333329999999</v>
      </c>
      <c r="BX189" s="35">
        <v>22.333333329999999</v>
      </c>
      <c r="BY189" s="35">
        <v>63.168205790000002</v>
      </c>
      <c r="CB189" t="s">
        <v>268</v>
      </c>
      <c r="CD189" t="s">
        <v>267</v>
      </c>
      <c r="CE189" t="s">
        <v>267</v>
      </c>
      <c r="CF189" t="s">
        <v>309</v>
      </c>
      <c r="CG189" t="s">
        <v>268</v>
      </c>
      <c r="CI189" t="s">
        <v>268</v>
      </c>
      <c r="CK189" s="30">
        <f t="shared" si="11"/>
        <v>3</v>
      </c>
      <c r="CL189">
        <f t="shared" si="12"/>
        <v>7</v>
      </c>
    </row>
    <row r="190" spans="1:90" hidden="1" x14ac:dyDescent="0.35">
      <c r="A190" t="s">
        <v>847</v>
      </c>
      <c r="B190" t="s">
        <v>822</v>
      </c>
      <c r="C190" t="s">
        <v>823</v>
      </c>
      <c r="D190" t="s">
        <v>824</v>
      </c>
      <c r="E190" t="s">
        <v>825</v>
      </c>
      <c r="F190">
        <v>2018</v>
      </c>
      <c r="G190" t="s">
        <v>344</v>
      </c>
      <c r="I190" t="s">
        <v>176</v>
      </c>
      <c r="K190" t="s">
        <v>180</v>
      </c>
      <c r="L190" t="s">
        <v>181</v>
      </c>
      <c r="M190" t="s">
        <v>364</v>
      </c>
      <c r="N190" t="s">
        <v>179</v>
      </c>
      <c r="O190" t="s">
        <v>188</v>
      </c>
      <c r="P190" t="s">
        <v>827</v>
      </c>
      <c r="Q190" t="s">
        <v>188</v>
      </c>
      <c r="S190" t="s">
        <v>204</v>
      </c>
      <c r="U190" t="s">
        <v>1117</v>
      </c>
      <c r="V190" t="s">
        <v>268</v>
      </c>
      <c r="X190" t="s">
        <v>269</v>
      </c>
      <c r="AE190" t="s">
        <v>273</v>
      </c>
      <c r="AG190" t="s">
        <v>275</v>
      </c>
      <c r="AI190" t="s">
        <v>345</v>
      </c>
      <c r="AK190">
        <v>0.82</v>
      </c>
      <c r="AL190" t="s">
        <v>828</v>
      </c>
      <c r="AM190">
        <v>35</v>
      </c>
      <c r="AO190" t="s">
        <v>1106</v>
      </c>
      <c r="AP190" t="s">
        <v>282</v>
      </c>
      <c r="AQ190" t="s">
        <v>283</v>
      </c>
      <c r="AR190" t="s">
        <v>476</v>
      </c>
      <c r="AS190" t="s">
        <v>1094</v>
      </c>
      <c r="AT190" t="s">
        <v>715</v>
      </c>
      <c r="AU190">
        <v>19485</v>
      </c>
      <c r="AV190" s="30">
        <v>2</v>
      </c>
      <c r="AW190" t="s">
        <v>287</v>
      </c>
      <c r="AX190" t="s">
        <v>191</v>
      </c>
      <c r="AZ190" t="s">
        <v>829</v>
      </c>
      <c r="BA190">
        <v>0</v>
      </c>
      <c r="BB190" t="s">
        <v>290</v>
      </c>
      <c r="BC190" t="s">
        <v>261</v>
      </c>
      <c r="BE190" t="s">
        <v>559</v>
      </c>
      <c r="BF190" t="s">
        <v>291</v>
      </c>
      <c r="BG190" t="s">
        <v>297</v>
      </c>
      <c r="BH190" t="s">
        <v>282</v>
      </c>
      <c r="BI190">
        <v>2</v>
      </c>
      <c r="BJ190" t="s">
        <v>322</v>
      </c>
      <c r="BK190" t="s">
        <v>830</v>
      </c>
      <c r="BL190" t="s">
        <v>831</v>
      </c>
      <c r="BM190" t="s">
        <v>833</v>
      </c>
      <c r="BN190" t="str">
        <f t="shared" si="25"/>
        <v>NH-NoPAS/FST-NoPAS_NH+PAS/FST-NoPAS</v>
      </c>
      <c r="BO190" t="s">
        <v>268</v>
      </c>
      <c r="BQ190">
        <v>8</v>
      </c>
      <c r="BR190">
        <v>8</v>
      </c>
      <c r="BS190" s="35">
        <v>117.33333330000001</v>
      </c>
      <c r="BT190" s="35">
        <v>11.33333333</v>
      </c>
      <c r="BU190" s="35">
        <v>32.055507409999997</v>
      </c>
      <c r="BV190" s="35"/>
      <c r="BW190" s="35">
        <v>97.666666669999998</v>
      </c>
      <c r="BX190" s="35">
        <v>13.33333333</v>
      </c>
      <c r="BY190" s="35">
        <v>37.712361659999999</v>
      </c>
      <c r="CB190" t="s">
        <v>268</v>
      </c>
      <c r="CD190" t="s">
        <v>267</v>
      </c>
      <c r="CE190" t="s">
        <v>267</v>
      </c>
      <c r="CF190" t="s">
        <v>309</v>
      </c>
      <c r="CG190" t="s">
        <v>268</v>
      </c>
      <c r="CI190" t="s">
        <v>268</v>
      </c>
      <c r="CK190" s="30">
        <f t="shared" si="11"/>
        <v>3</v>
      </c>
      <c r="CL190">
        <f t="shared" si="12"/>
        <v>7</v>
      </c>
    </row>
    <row r="191" spans="1:90" hidden="1" x14ac:dyDescent="0.35">
      <c r="A191" t="s">
        <v>848</v>
      </c>
      <c r="B191" t="s">
        <v>822</v>
      </c>
      <c r="C191" t="s">
        <v>823</v>
      </c>
      <c r="D191" t="s">
        <v>824</v>
      </c>
      <c r="E191" t="s">
        <v>825</v>
      </c>
      <c r="F191">
        <v>2018</v>
      </c>
      <c r="G191" t="s">
        <v>453</v>
      </c>
      <c r="I191" t="s">
        <v>176</v>
      </c>
      <c r="K191" t="s">
        <v>180</v>
      </c>
      <c r="L191" t="s">
        <v>181</v>
      </c>
      <c r="M191" t="s">
        <v>364</v>
      </c>
      <c r="N191" t="s">
        <v>179</v>
      </c>
      <c r="O191" t="s">
        <v>188</v>
      </c>
      <c r="P191" t="s">
        <v>827</v>
      </c>
      <c r="Q191" t="s">
        <v>188</v>
      </c>
      <c r="S191" t="s">
        <v>204</v>
      </c>
      <c r="U191" t="s">
        <v>1117</v>
      </c>
      <c r="V191" t="s">
        <v>268</v>
      </c>
      <c r="X191" t="s">
        <v>269</v>
      </c>
      <c r="AE191" t="s">
        <v>273</v>
      </c>
      <c r="AG191" t="s">
        <v>277</v>
      </c>
      <c r="AI191" t="s">
        <v>345</v>
      </c>
      <c r="AK191">
        <v>0.82</v>
      </c>
      <c r="AL191" t="s">
        <v>828</v>
      </c>
      <c r="AM191">
        <v>35</v>
      </c>
      <c r="AO191" t="s">
        <v>1106</v>
      </c>
      <c r="AP191" t="s">
        <v>282</v>
      </c>
      <c r="AQ191" t="s">
        <v>283</v>
      </c>
      <c r="AR191" t="s">
        <v>476</v>
      </c>
      <c r="AS191" t="s">
        <v>1094</v>
      </c>
      <c r="AT191" t="s">
        <v>715</v>
      </c>
      <c r="AU191">
        <v>19485</v>
      </c>
      <c r="AV191" s="30">
        <v>2</v>
      </c>
      <c r="AW191" t="s">
        <v>287</v>
      </c>
      <c r="AX191" t="s">
        <v>191</v>
      </c>
      <c r="AZ191" t="s">
        <v>829</v>
      </c>
      <c r="BA191">
        <v>0</v>
      </c>
      <c r="BB191" t="s">
        <v>290</v>
      </c>
      <c r="BC191" t="s">
        <v>261</v>
      </c>
      <c r="BE191" t="s">
        <v>559</v>
      </c>
      <c r="BF191" t="s">
        <v>291</v>
      </c>
      <c r="BG191" t="s">
        <v>297</v>
      </c>
      <c r="BH191" t="s">
        <v>282</v>
      </c>
      <c r="BI191">
        <v>2</v>
      </c>
      <c r="BJ191" t="s">
        <v>322</v>
      </c>
      <c r="BK191" t="s">
        <v>830</v>
      </c>
      <c r="BL191" t="s">
        <v>831</v>
      </c>
      <c r="BM191" t="s">
        <v>834</v>
      </c>
      <c r="BN191" t="str">
        <f t="shared" si="25"/>
        <v>NH-NoPAS/FST-NoPAS_NH+PAS/FST+PAS</v>
      </c>
      <c r="BO191" t="s">
        <v>268</v>
      </c>
      <c r="BQ191">
        <v>8</v>
      </c>
      <c r="BR191">
        <v>8</v>
      </c>
      <c r="BS191" s="35">
        <v>117.33333330000001</v>
      </c>
      <c r="BT191" s="35">
        <v>11.33333333</v>
      </c>
      <c r="BU191" s="35">
        <v>32.055507409999997</v>
      </c>
      <c r="BV191" s="35"/>
      <c r="BW191" s="35">
        <v>123</v>
      </c>
      <c r="BX191" s="35">
        <v>11.66666667</v>
      </c>
      <c r="BY191" s="35">
        <v>32.998316459999998</v>
      </c>
      <c r="CB191" t="s">
        <v>268</v>
      </c>
      <c r="CD191" t="s">
        <v>267</v>
      </c>
      <c r="CE191" t="s">
        <v>267</v>
      </c>
      <c r="CF191" t="s">
        <v>309</v>
      </c>
      <c r="CG191" t="s">
        <v>268</v>
      </c>
      <c r="CI191" t="s">
        <v>268</v>
      </c>
      <c r="CK191" s="30">
        <f t="shared" si="11"/>
        <v>3</v>
      </c>
      <c r="CL191">
        <f t="shared" si="12"/>
        <v>7</v>
      </c>
    </row>
    <row r="192" spans="1:90" hidden="1" x14ac:dyDescent="0.35">
      <c r="A192" t="s">
        <v>849</v>
      </c>
      <c r="B192" t="s">
        <v>822</v>
      </c>
      <c r="C192" t="s">
        <v>823</v>
      </c>
      <c r="D192" t="s">
        <v>824</v>
      </c>
      <c r="E192" t="s">
        <v>825</v>
      </c>
      <c r="F192">
        <v>2018</v>
      </c>
      <c r="G192" t="s">
        <v>175</v>
      </c>
      <c r="I192" t="s">
        <v>331</v>
      </c>
      <c r="K192" t="s">
        <v>180</v>
      </c>
      <c r="L192" t="s">
        <v>181</v>
      </c>
      <c r="M192" t="s">
        <v>364</v>
      </c>
      <c r="N192" t="s">
        <v>179</v>
      </c>
      <c r="O192" t="s">
        <v>188</v>
      </c>
      <c r="P192" t="s">
        <v>827</v>
      </c>
      <c r="Q192" t="s">
        <v>188</v>
      </c>
      <c r="S192" t="s">
        <v>204</v>
      </c>
      <c r="U192" t="s">
        <v>1117</v>
      </c>
      <c r="V192" t="s">
        <v>268</v>
      </c>
      <c r="X192" t="s">
        <v>269</v>
      </c>
      <c r="AE192" t="s">
        <v>273</v>
      </c>
      <c r="AG192" t="s">
        <v>276</v>
      </c>
      <c r="AI192" t="s">
        <v>345</v>
      </c>
      <c r="AK192">
        <v>0.82</v>
      </c>
      <c r="AL192" t="s">
        <v>843</v>
      </c>
      <c r="AM192">
        <v>35</v>
      </c>
      <c r="AO192" t="s">
        <v>1106</v>
      </c>
      <c r="AP192" t="s">
        <v>282</v>
      </c>
      <c r="AQ192" t="s">
        <v>283</v>
      </c>
      <c r="AR192" t="s">
        <v>476</v>
      </c>
      <c r="AS192" t="s">
        <v>1094</v>
      </c>
      <c r="AT192" t="s">
        <v>715</v>
      </c>
      <c r="AU192">
        <v>19485</v>
      </c>
      <c r="AV192" s="30">
        <v>2</v>
      </c>
      <c r="AW192" t="s">
        <v>287</v>
      </c>
      <c r="AX192" t="s">
        <v>191</v>
      </c>
      <c r="AZ192" t="s">
        <v>829</v>
      </c>
      <c r="BA192">
        <v>0</v>
      </c>
      <c r="BB192" t="s">
        <v>290</v>
      </c>
      <c r="BC192" t="s">
        <v>261</v>
      </c>
      <c r="BE192" t="s">
        <v>835</v>
      </c>
      <c r="BF192" t="s">
        <v>294</v>
      </c>
      <c r="BG192" t="s">
        <v>300</v>
      </c>
      <c r="BH192" t="s">
        <v>282</v>
      </c>
      <c r="BI192">
        <v>2</v>
      </c>
      <c r="BJ192" t="s">
        <v>322</v>
      </c>
      <c r="BK192" t="s">
        <v>836</v>
      </c>
      <c r="BL192" t="s">
        <v>831</v>
      </c>
      <c r="BM192" t="s">
        <v>832</v>
      </c>
      <c r="BN192" t="str">
        <f t="shared" ref="BN192:BN197" si="26">_xlfn.CONCAT(BL192:BM192)</f>
        <v>NH-NoPAS/FST-NoPAS_NH-NoPAS/FST+PAS</v>
      </c>
      <c r="BO192" t="s">
        <v>268</v>
      </c>
      <c r="BQ192">
        <v>8</v>
      </c>
      <c r="BR192">
        <v>8</v>
      </c>
      <c r="BS192" s="35">
        <v>15.546218489999999</v>
      </c>
      <c r="BT192" s="35">
        <v>1.2605042019999999</v>
      </c>
      <c r="BU192" s="35">
        <v>3.565244275</v>
      </c>
      <c r="BV192" s="35"/>
      <c r="BW192" s="35">
        <v>14.20168067</v>
      </c>
      <c r="BX192" s="35">
        <v>1.638655462</v>
      </c>
      <c r="BY192" s="35">
        <v>4.6348175569999999</v>
      </c>
      <c r="CB192" t="s">
        <v>268</v>
      </c>
      <c r="CD192" t="s">
        <v>267</v>
      </c>
      <c r="CE192" t="s">
        <v>267</v>
      </c>
      <c r="CF192" t="s">
        <v>309</v>
      </c>
      <c r="CG192" t="s">
        <v>268</v>
      </c>
      <c r="CI192" t="s">
        <v>268</v>
      </c>
      <c r="CK192" s="30">
        <f t="shared" si="11"/>
        <v>3</v>
      </c>
      <c r="CL192">
        <f t="shared" si="12"/>
        <v>7</v>
      </c>
    </row>
    <row r="193" spans="1:90" hidden="1" x14ac:dyDescent="0.35">
      <c r="A193" t="s">
        <v>850</v>
      </c>
      <c r="B193" t="s">
        <v>822</v>
      </c>
      <c r="C193" t="s">
        <v>823</v>
      </c>
      <c r="D193" t="s">
        <v>824</v>
      </c>
      <c r="E193" t="s">
        <v>825</v>
      </c>
      <c r="F193">
        <v>2018</v>
      </c>
      <c r="G193" t="s">
        <v>344</v>
      </c>
      <c r="I193" t="s">
        <v>331</v>
      </c>
      <c r="K193" t="s">
        <v>180</v>
      </c>
      <c r="L193" t="s">
        <v>181</v>
      </c>
      <c r="M193" t="s">
        <v>364</v>
      </c>
      <c r="N193" t="s">
        <v>179</v>
      </c>
      <c r="O193" t="s">
        <v>188</v>
      </c>
      <c r="P193" t="s">
        <v>827</v>
      </c>
      <c r="Q193" t="s">
        <v>188</v>
      </c>
      <c r="S193" t="s">
        <v>204</v>
      </c>
      <c r="U193" t="s">
        <v>1117</v>
      </c>
      <c r="V193" t="s">
        <v>268</v>
      </c>
      <c r="X193" t="s">
        <v>269</v>
      </c>
      <c r="AE193" t="s">
        <v>273</v>
      </c>
      <c r="AG193" t="s">
        <v>275</v>
      </c>
      <c r="AI193" t="s">
        <v>345</v>
      </c>
      <c r="AK193">
        <v>0.82</v>
      </c>
      <c r="AL193" t="s">
        <v>843</v>
      </c>
      <c r="AM193">
        <v>35</v>
      </c>
      <c r="AO193" t="s">
        <v>1106</v>
      </c>
      <c r="AP193" t="s">
        <v>282</v>
      </c>
      <c r="AQ193" t="s">
        <v>283</v>
      </c>
      <c r="AR193" t="s">
        <v>476</v>
      </c>
      <c r="AS193" t="s">
        <v>1094</v>
      </c>
      <c r="AT193" t="s">
        <v>715</v>
      </c>
      <c r="AU193">
        <v>19485</v>
      </c>
      <c r="AV193" s="30">
        <v>2</v>
      </c>
      <c r="AW193" t="s">
        <v>287</v>
      </c>
      <c r="AX193" t="s">
        <v>191</v>
      </c>
      <c r="AZ193" t="s">
        <v>829</v>
      </c>
      <c r="BA193">
        <v>0</v>
      </c>
      <c r="BB193" t="s">
        <v>290</v>
      </c>
      <c r="BC193" t="s">
        <v>261</v>
      </c>
      <c r="BE193" t="s">
        <v>835</v>
      </c>
      <c r="BF193" t="s">
        <v>294</v>
      </c>
      <c r="BG193" t="s">
        <v>300</v>
      </c>
      <c r="BH193" t="s">
        <v>282</v>
      </c>
      <c r="BI193">
        <v>2</v>
      </c>
      <c r="BJ193" t="s">
        <v>322</v>
      </c>
      <c r="BK193" t="s">
        <v>836</v>
      </c>
      <c r="BL193" t="s">
        <v>831</v>
      </c>
      <c r="BM193" t="s">
        <v>833</v>
      </c>
      <c r="BN193" t="str">
        <f t="shared" si="26"/>
        <v>NH-NoPAS/FST-NoPAS_NH+PAS/FST-NoPAS</v>
      </c>
      <c r="BO193" t="s">
        <v>268</v>
      </c>
      <c r="BQ193">
        <v>8</v>
      </c>
      <c r="BR193">
        <v>8</v>
      </c>
      <c r="BS193" s="35">
        <v>15.546218489999999</v>
      </c>
      <c r="BT193" s="35">
        <v>1.2605042019999999</v>
      </c>
      <c r="BU193" s="35">
        <v>3.565244275</v>
      </c>
      <c r="BV193" s="35"/>
      <c r="BW193" s="35">
        <v>13.949579829999999</v>
      </c>
      <c r="BX193" s="35">
        <v>1.1764705879999999</v>
      </c>
      <c r="BY193" s="35">
        <v>3.3275613229999998</v>
      </c>
      <c r="CB193" t="s">
        <v>268</v>
      </c>
      <c r="CD193" t="s">
        <v>267</v>
      </c>
      <c r="CE193" t="s">
        <v>267</v>
      </c>
      <c r="CF193" t="s">
        <v>309</v>
      </c>
      <c r="CG193" t="s">
        <v>268</v>
      </c>
      <c r="CI193" t="s">
        <v>268</v>
      </c>
      <c r="CK193" s="30">
        <f t="shared" ref="CK193:CK256" si="27">(CB193="Yes")+(CD193="Yes")+(CE193="Yes")+(CI193="No")</f>
        <v>3</v>
      </c>
      <c r="CL193">
        <f t="shared" ref="CL193:CL256" si="28">CK193+AV193+BA193+BI193</f>
        <v>7</v>
      </c>
    </row>
    <row r="194" spans="1:90" hidden="1" x14ac:dyDescent="0.35">
      <c r="A194" t="s">
        <v>851</v>
      </c>
      <c r="B194" t="s">
        <v>822</v>
      </c>
      <c r="C194" t="s">
        <v>823</v>
      </c>
      <c r="D194" t="s">
        <v>824</v>
      </c>
      <c r="E194" t="s">
        <v>825</v>
      </c>
      <c r="F194">
        <v>2018</v>
      </c>
      <c r="G194" t="s">
        <v>453</v>
      </c>
      <c r="I194" t="s">
        <v>331</v>
      </c>
      <c r="K194" t="s">
        <v>180</v>
      </c>
      <c r="L194" t="s">
        <v>181</v>
      </c>
      <c r="M194" t="s">
        <v>364</v>
      </c>
      <c r="N194" t="s">
        <v>179</v>
      </c>
      <c r="O194" t="s">
        <v>188</v>
      </c>
      <c r="P194" t="s">
        <v>827</v>
      </c>
      <c r="Q194" t="s">
        <v>188</v>
      </c>
      <c r="S194" t="s">
        <v>204</v>
      </c>
      <c r="U194" t="s">
        <v>1117</v>
      </c>
      <c r="V194" t="s">
        <v>268</v>
      </c>
      <c r="X194" t="s">
        <v>269</v>
      </c>
      <c r="AE194" t="s">
        <v>273</v>
      </c>
      <c r="AG194" t="s">
        <v>277</v>
      </c>
      <c r="AI194" t="s">
        <v>345</v>
      </c>
      <c r="AK194">
        <v>0.82</v>
      </c>
      <c r="AL194" t="s">
        <v>843</v>
      </c>
      <c r="AM194">
        <v>35</v>
      </c>
      <c r="AO194" t="s">
        <v>1106</v>
      </c>
      <c r="AP194" t="s">
        <v>282</v>
      </c>
      <c r="AQ194" t="s">
        <v>283</v>
      </c>
      <c r="AR194" t="s">
        <v>476</v>
      </c>
      <c r="AS194" t="s">
        <v>1094</v>
      </c>
      <c r="AT194" t="s">
        <v>715</v>
      </c>
      <c r="AU194">
        <v>19485</v>
      </c>
      <c r="AV194" s="30">
        <v>2</v>
      </c>
      <c r="AW194" t="s">
        <v>287</v>
      </c>
      <c r="AX194" t="s">
        <v>191</v>
      </c>
      <c r="AZ194" t="s">
        <v>829</v>
      </c>
      <c r="BA194">
        <v>0</v>
      </c>
      <c r="BB194" t="s">
        <v>290</v>
      </c>
      <c r="BC194" t="s">
        <v>261</v>
      </c>
      <c r="BE194" t="s">
        <v>835</v>
      </c>
      <c r="BF194" t="s">
        <v>294</v>
      </c>
      <c r="BG194" t="s">
        <v>300</v>
      </c>
      <c r="BH194" t="s">
        <v>282</v>
      </c>
      <c r="BI194">
        <v>2</v>
      </c>
      <c r="BJ194" t="s">
        <v>322</v>
      </c>
      <c r="BK194" t="s">
        <v>836</v>
      </c>
      <c r="BL194" t="s">
        <v>831</v>
      </c>
      <c r="BM194" t="s">
        <v>834</v>
      </c>
      <c r="BN194" t="str">
        <f t="shared" si="26"/>
        <v>NH-NoPAS/FST-NoPAS_NH+PAS/FST+PAS</v>
      </c>
      <c r="BO194" t="s">
        <v>268</v>
      </c>
      <c r="BQ194">
        <v>8</v>
      </c>
      <c r="BR194">
        <v>8</v>
      </c>
      <c r="BS194" s="35">
        <v>15.546218489999999</v>
      </c>
      <c r="BT194" s="35">
        <v>1.2605042019999999</v>
      </c>
      <c r="BU194" s="35">
        <v>3.565244275</v>
      </c>
      <c r="BV194" s="35"/>
      <c r="BW194" s="35">
        <v>14.789915969999999</v>
      </c>
      <c r="BX194" s="35">
        <v>1.2184873949999999</v>
      </c>
      <c r="BY194" s="35">
        <v>3.4464027989999999</v>
      </c>
      <c r="CB194" t="s">
        <v>268</v>
      </c>
      <c r="CD194" t="s">
        <v>267</v>
      </c>
      <c r="CE194" t="s">
        <v>267</v>
      </c>
      <c r="CF194" t="s">
        <v>309</v>
      </c>
      <c r="CG194" t="s">
        <v>268</v>
      </c>
      <c r="CI194" t="s">
        <v>268</v>
      </c>
      <c r="CK194" s="30">
        <f t="shared" si="27"/>
        <v>3</v>
      </c>
      <c r="CL194">
        <f t="shared" si="28"/>
        <v>7</v>
      </c>
    </row>
    <row r="195" spans="1:90" hidden="1" x14ac:dyDescent="0.35">
      <c r="A195" t="s">
        <v>852</v>
      </c>
      <c r="B195" t="s">
        <v>822</v>
      </c>
      <c r="C195" t="s">
        <v>823</v>
      </c>
      <c r="D195" t="s">
        <v>824</v>
      </c>
      <c r="E195" t="s">
        <v>825</v>
      </c>
      <c r="F195">
        <v>2018</v>
      </c>
      <c r="G195" t="s">
        <v>175</v>
      </c>
      <c r="I195" t="s">
        <v>332</v>
      </c>
      <c r="K195" t="s">
        <v>180</v>
      </c>
      <c r="L195" t="s">
        <v>181</v>
      </c>
      <c r="M195" t="s">
        <v>364</v>
      </c>
      <c r="N195" t="s">
        <v>179</v>
      </c>
      <c r="O195" t="s">
        <v>188</v>
      </c>
      <c r="P195" t="s">
        <v>827</v>
      </c>
      <c r="Q195" t="s">
        <v>188</v>
      </c>
      <c r="S195" t="s">
        <v>204</v>
      </c>
      <c r="U195" t="s">
        <v>1117</v>
      </c>
      <c r="V195" t="s">
        <v>268</v>
      </c>
      <c r="X195" t="s">
        <v>269</v>
      </c>
      <c r="AE195" t="s">
        <v>273</v>
      </c>
      <c r="AG195" t="s">
        <v>276</v>
      </c>
      <c r="AI195" t="s">
        <v>345</v>
      </c>
      <c r="AK195">
        <v>0.82</v>
      </c>
      <c r="AL195" t="s">
        <v>843</v>
      </c>
      <c r="AM195">
        <v>35</v>
      </c>
      <c r="AO195" t="s">
        <v>1106</v>
      </c>
      <c r="AP195" t="s">
        <v>282</v>
      </c>
      <c r="AQ195" t="s">
        <v>283</v>
      </c>
      <c r="AR195" t="s">
        <v>476</v>
      </c>
      <c r="AS195" t="s">
        <v>1094</v>
      </c>
      <c r="AT195" t="s">
        <v>715</v>
      </c>
      <c r="AU195">
        <v>19485</v>
      </c>
      <c r="AV195" s="30">
        <v>2</v>
      </c>
      <c r="AW195" t="s">
        <v>287</v>
      </c>
      <c r="AX195" t="s">
        <v>191</v>
      </c>
      <c r="AZ195" t="s">
        <v>829</v>
      </c>
      <c r="BA195">
        <v>0</v>
      </c>
      <c r="BB195" t="s">
        <v>290</v>
      </c>
      <c r="BC195" t="s">
        <v>261</v>
      </c>
      <c r="BE195" t="s">
        <v>837</v>
      </c>
      <c r="BF195" t="s">
        <v>291</v>
      </c>
      <c r="BG195" t="s">
        <v>297</v>
      </c>
      <c r="BH195" t="s">
        <v>282</v>
      </c>
      <c r="BI195">
        <v>2</v>
      </c>
      <c r="BJ195" t="s">
        <v>322</v>
      </c>
      <c r="BK195" t="s">
        <v>838</v>
      </c>
      <c r="BL195" t="s">
        <v>831</v>
      </c>
      <c r="BM195" t="s">
        <v>832</v>
      </c>
      <c r="BN195" t="str">
        <f t="shared" si="26"/>
        <v>NH-NoPAS/FST-NoPAS_NH-NoPAS/FST+PAS</v>
      </c>
      <c r="BO195" t="s">
        <v>267</v>
      </c>
      <c r="BQ195">
        <v>8</v>
      </c>
      <c r="BR195">
        <v>8</v>
      </c>
      <c r="BS195" s="35">
        <v>58.892355690000002</v>
      </c>
      <c r="BT195" s="35">
        <v>8.1903276129999991</v>
      </c>
      <c r="BU195" s="35">
        <v>23.165744780000001</v>
      </c>
      <c r="BV195" s="35"/>
      <c r="BW195" s="35">
        <v>35.10140406</v>
      </c>
      <c r="BX195" s="35">
        <v>4.2901716070000004</v>
      </c>
      <c r="BY195" s="35">
        <v>12.134437739999999</v>
      </c>
      <c r="CB195" t="s">
        <v>268</v>
      </c>
      <c r="CD195" t="s">
        <v>267</v>
      </c>
      <c r="CE195" t="s">
        <v>267</v>
      </c>
      <c r="CF195" t="s">
        <v>309</v>
      </c>
      <c r="CG195" t="s">
        <v>268</v>
      </c>
      <c r="CI195" t="s">
        <v>268</v>
      </c>
      <c r="CK195" s="30">
        <f t="shared" si="27"/>
        <v>3</v>
      </c>
      <c r="CL195">
        <f t="shared" si="28"/>
        <v>7</v>
      </c>
    </row>
    <row r="196" spans="1:90" hidden="1" x14ac:dyDescent="0.35">
      <c r="A196" t="s">
        <v>853</v>
      </c>
      <c r="B196" t="s">
        <v>822</v>
      </c>
      <c r="C196" t="s">
        <v>823</v>
      </c>
      <c r="D196" t="s">
        <v>824</v>
      </c>
      <c r="E196" t="s">
        <v>825</v>
      </c>
      <c r="F196">
        <v>2018</v>
      </c>
      <c r="G196" t="s">
        <v>344</v>
      </c>
      <c r="I196" t="s">
        <v>332</v>
      </c>
      <c r="K196" t="s">
        <v>180</v>
      </c>
      <c r="L196" t="s">
        <v>181</v>
      </c>
      <c r="M196" t="s">
        <v>364</v>
      </c>
      <c r="N196" t="s">
        <v>179</v>
      </c>
      <c r="O196" t="s">
        <v>188</v>
      </c>
      <c r="P196" t="s">
        <v>827</v>
      </c>
      <c r="Q196" t="s">
        <v>188</v>
      </c>
      <c r="S196" t="s">
        <v>204</v>
      </c>
      <c r="U196" t="s">
        <v>1117</v>
      </c>
      <c r="V196" t="s">
        <v>268</v>
      </c>
      <c r="X196" t="s">
        <v>269</v>
      </c>
      <c r="AE196" t="s">
        <v>273</v>
      </c>
      <c r="AG196" t="s">
        <v>275</v>
      </c>
      <c r="AI196" t="s">
        <v>345</v>
      </c>
      <c r="AK196">
        <v>0.82</v>
      </c>
      <c r="AL196" t="s">
        <v>843</v>
      </c>
      <c r="AM196">
        <v>35</v>
      </c>
      <c r="AO196" t="s">
        <v>1106</v>
      </c>
      <c r="AP196" t="s">
        <v>282</v>
      </c>
      <c r="AQ196" t="s">
        <v>283</v>
      </c>
      <c r="AR196" t="s">
        <v>476</v>
      </c>
      <c r="AS196" t="s">
        <v>1094</v>
      </c>
      <c r="AT196" t="s">
        <v>715</v>
      </c>
      <c r="AU196">
        <v>19485</v>
      </c>
      <c r="AV196" s="30">
        <v>2</v>
      </c>
      <c r="AW196" t="s">
        <v>287</v>
      </c>
      <c r="AX196" t="s">
        <v>191</v>
      </c>
      <c r="AZ196" t="s">
        <v>829</v>
      </c>
      <c r="BA196">
        <v>0</v>
      </c>
      <c r="BB196" t="s">
        <v>290</v>
      </c>
      <c r="BC196" t="s">
        <v>261</v>
      </c>
      <c r="BE196" t="s">
        <v>450</v>
      </c>
      <c r="BF196" t="s">
        <v>291</v>
      </c>
      <c r="BG196" t="s">
        <v>297</v>
      </c>
      <c r="BH196" t="s">
        <v>282</v>
      </c>
      <c r="BI196">
        <v>2</v>
      </c>
      <c r="BJ196" t="s">
        <v>322</v>
      </c>
      <c r="BK196" t="s">
        <v>838</v>
      </c>
      <c r="BL196" t="s">
        <v>831</v>
      </c>
      <c r="BM196" t="s">
        <v>833</v>
      </c>
      <c r="BN196" t="str">
        <f t="shared" si="26"/>
        <v>NH-NoPAS/FST-NoPAS_NH+PAS/FST-NoPAS</v>
      </c>
      <c r="BO196" t="s">
        <v>267</v>
      </c>
      <c r="BQ196">
        <v>8</v>
      </c>
      <c r="BR196">
        <v>8</v>
      </c>
      <c r="BS196" s="35">
        <v>58.892355690000002</v>
      </c>
      <c r="BT196" s="35">
        <v>8.1903276129999991</v>
      </c>
      <c r="BU196" s="35">
        <v>23.165744780000001</v>
      </c>
      <c r="BV196" s="35"/>
      <c r="BW196" s="35">
        <v>62.012480500000002</v>
      </c>
      <c r="BX196" s="35">
        <v>8.9703588140000008</v>
      </c>
      <c r="BY196" s="35">
        <v>25.37200619</v>
      </c>
      <c r="CB196" t="s">
        <v>268</v>
      </c>
      <c r="CD196" t="s">
        <v>267</v>
      </c>
      <c r="CE196" t="s">
        <v>267</v>
      </c>
      <c r="CF196" t="s">
        <v>309</v>
      </c>
      <c r="CG196" t="s">
        <v>268</v>
      </c>
      <c r="CI196" t="s">
        <v>268</v>
      </c>
      <c r="CK196" s="30">
        <f t="shared" si="27"/>
        <v>3</v>
      </c>
      <c r="CL196">
        <f t="shared" si="28"/>
        <v>7</v>
      </c>
    </row>
    <row r="197" spans="1:90" hidden="1" x14ac:dyDescent="0.35">
      <c r="A197" t="s">
        <v>854</v>
      </c>
      <c r="B197" t="s">
        <v>822</v>
      </c>
      <c r="C197" t="s">
        <v>823</v>
      </c>
      <c r="D197" t="s">
        <v>824</v>
      </c>
      <c r="E197" t="s">
        <v>825</v>
      </c>
      <c r="F197">
        <v>2018</v>
      </c>
      <c r="G197" t="s">
        <v>453</v>
      </c>
      <c r="I197" t="s">
        <v>332</v>
      </c>
      <c r="K197" t="s">
        <v>180</v>
      </c>
      <c r="L197" t="s">
        <v>181</v>
      </c>
      <c r="M197" t="s">
        <v>364</v>
      </c>
      <c r="N197" t="s">
        <v>179</v>
      </c>
      <c r="O197" t="s">
        <v>188</v>
      </c>
      <c r="P197" t="s">
        <v>827</v>
      </c>
      <c r="Q197" t="s">
        <v>188</v>
      </c>
      <c r="S197" t="s">
        <v>204</v>
      </c>
      <c r="U197" t="s">
        <v>1117</v>
      </c>
      <c r="V197" t="s">
        <v>268</v>
      </c>
      <c r="X197" t="s">
        <v>269</v>
      </c>
      <c r="AE197" t="s">
        <v>273</v>
      </c>
      <c r="AG197" t="s">
        <v>277</v>
      </c>
      <c r="AI197" t="s">
        <v>345</v>
      </c>
      <c r="AK197">
        <v>0.82</v>
      </c>
      <c r="AL197" t="s">
        <v>843</v>
      </c>
      <c r="AM197">
        <v>35</v>
      </c>
      <c r="AO197" t="s">
        <v>1106</v>
      </c>
      <c r="AP197" t="s">
        <v>282</v>
      </c>
      <c r="AQ197" t="s">
        <v>283</v>
      </c>
      <c r="AR197" t="s">
        <v>476</v>
      </c>
      <c r="AS197" t="s">
        <v>1094</v>
      </c>
      <c r="AT197" t="s">
        <v>715</v>
      </c>
      <c r="AU197">
        <v>19485</v>
      </c>
      <c r="AV197" s="30">
        <v>2</v>
      </c>
      <c r="AW197" t="s">
        <v>287</v>
      </c>
      <c r="AX197" t="s">
        <v>191</v>
      </c>
      <c r="AZ197" t="s">
        <v>829</v>
      </c>
      <c r="BA197">
        <v>0</v>
      </c>
      <c r="BB197" t="s">
        <v>290</v>
      </c>
      <c r="BC197" t="s">
        <v>261</v>
      </c>
      <c r="BE197" t="s">
        <v>450</v>
      </c>
      <c r="BF197" t="s">
        <v>291</v>
      </c>
      <c r="BG197" t="s">
        <v>297</v>
      </c>
      <c r="BH197" t="s">
        <v>282</v>
      </c>
      <c r="BI197">
        <v>2</v>
      </c>
      <c r="BJ197" t="s">
        <v>322</v>
      </c>
      <c r="BK197" t="s">
        <v>838</v>
      </c>
      <c r="BL197" t="s">
        <v>831</v>
      </c>
      <c r="BM197" t="s">
        <v>834</v>
      </c>
      <c r="BN197" t="str">
        <f t="shared" si="26"/>
        <v>NH-NoPAS/FST-NoPAS_NH+PAS/FST+PAS</v>
      </c>
      <c r="BO197" t="s">
        <v>267</v>
      </c>
      <c r="BQ197">
        <v>8</v>
      </c>
      <c r="BR197">
        <v>8</v>
      </c>
      <c r="BS197" s="35">
        <v>58.892355690000002</v>
      </c>
      <c r="BT197" s="35">
        <v>8.1903276129999991</v>
      </c>
      <c r="BU197" s="35">
        <v>23.165744780000001</v>
      </c>
      <c r="BV197" s="35"/>
      <c r="BW197" s="35">
        <v>62.792511699999999</v>
      </c>
      <c r="BX197" s="35">
        <v>5.0702028080000003</v>
      </c>
      <c r="BY197" s="35">
        <v>14.340699150000001</v>
      </c>
      <c r="CB197" t="s">
        <v>268</v>
      </c>
      <c r="CD197" t="s">
        <v>267</v>
      </c>
      <c r="CE197" t="s">
        <v>267</v>
      </c>
      <c r="CF197" t="s">
        <v>309</v>
      </c>
      <c r="CG197" t="s">
        <v>268</v>
      </c>
      <c r="CI197" t="s">
        <v>268</v>
      </c>
      <c r="CK197" s="30">
        <f t="shared" si="27"/>
        <v>3</v>
      </c>
      <c r="CL197">
        <f t="shared" si="28"/>
        <v>7</v>
      </c>
    </row>
    <row r="198" spans="1:90" hidden="1" x14ac:dyDescent="0.35">
      <c r="A198" t="s">
        <v>855</v>
      </c>
      <c r="B198" t="s">
        <v>822</v>
      </c>
      <c r="C198" t="s">
        <v>823</v>
      </c>
      <c r="D198" t="s">
        <v>824</v>
      </c>
      <c r="E198" t="s">
        <v>825</v>
      </c>
      <c r="F198">
        <v>2018</v>
      </c>
      <c r="G198" t="s">
        <v>454</v>
      </c>
      <c r="I198" t="s">
        <v>333</v>
      </c>
      <c r="K198" t="s">
        <v>180</v>
      </c>
      <c r="L198" t="s">
        <v>181</v>
      </c>
      <c r="M198" t="s">
        <v>364</v>
      </c>
      <c r="N198" t="s">
        <v>179</v>
      </c>
      <c r="O198" t="s">
        <v>188</v>
      </c>
      <c r="P198" t="s">
        <v>827</v>
      </c>
      <c r="Q198" t="s">
        <v>188</v>
      </c>
      <c r="S198" t="s">
        <v>204</v>
      </c>
      <c r="U198" t="s">
        <v>1117</v>
      </c>
      <c r="V198" t="s">
        <v>268</v>
      </c>
      <c r="X198" t="s">
        <v>269</v>
      </c>
      <c r="AE198" t="s">
        <v>273</v>
      </c>
      <c r="AG198" t="s">
        <v>276</v>
      </c>
      <c r="AI198" t="s">
        <v>345</v>
      </c>
      <c r="AK198">
        <v>0.82</v>
      </c>
      <c r="AL198" t="s">
        <v>843</v>
      </c>
      <c r="AM198">
        <v>35</v>
      </c>
      <c r="AO198" t="s">
        <v>1106</v>
      </c>
      <c r="AP198" t="s">
        <v>282</v>
      </c>
      <c r="AQ198" t="s">
        <v>283</v>
      </c>
      <c r="AR198" t="s">
        <v>476</v>
      </c>
      <c r="AS198" t="s">
        <v>1094</v>
      </c>
      <c r="AT198" t="s">
        <v>715</v>
      </c>
      <c r="AU198">
        <v>19485</v>
      </c>
      <c r="AV198" s="30">
        <v>2</v>
      </c>
      <c r="AW198" t="s">
        <v>287</v>
      </c>
      <c r="AX198" t="s">
        <v>191</v>
      </c>
      <c r="AZ198" t="s">
        <v>829</v>
      </c>
      <c r="BA198">
        <v>0</v>
      </c>
      <c r="BB198" t="s">
        <v>290</v>
      </c>
      <c r="BC198" t="s">
        <v>261</v>
      </c>
      <c r="BE198" t="s">
        <v>559</v>
      </c>
      <c r="BF198" t="s">
        <v>291</v>
      </c>
      <c r="BG198" t="s">
        <v>297</v>
      </c>
      <c r="BH198" t="s">
        <v>282</v>
      </c>
      <c r="BI198">
        <v>2</v>
      </c>
      <c r="BJ198" t="s">
        <v>322</v>
      </c>
      <c r="BK198" t="s">
        <v>830</v>
      </c>
      <c r="BL198" t="s">
        <v>839</v>
      </c>
      <c r="BM198" t="s">
        <v>840</v>
      </c>
      <c r="BN198" t="str">
        <f t="shared" si="25"/>
        <v>ENR-NoPAS/FST-NoPAS_ENR-NoPAS/FST+PAS</v>
      </c>
      <c r="BO198" t="s">
        <v>268</v>
      </c>
      <c r="BQ198">
        <v>8</v>
      </c>
      <c r="BR198">
        <v>8</v>
      </c>
      <c r="BS198" s="35">
        <v>104.66666669999999</v>
      </c>
      <c r="BT198" s="35">
        <v>15</v>
      </c>
      <c r="BU198" s="35">
        <v>42.426406870000001</v>
      </c>
      <c r="BV198" s="35"/>
      <c r="BW198" s="35">
        <v>94.666666669999998</v>
      </c>
      <c r="BX198" s="35">
        <v>14.33333333</v>
      </c>
      <c r="BY198" s="35">
        <v>40.540788790000001</v>
      </c>
      <c r="CB198" t="s">
        <v>268</v>
      </c>
      <c r="CD198" t="s">
        <v>267</v>
      </c>
      <c r="CE198" t="s">
        <v>267</v>
      </c>
      <c r="CF198" t="s">
        <v>309</v>
      </c>
      <c r="CG198" t="s">
        <v>268</v>
      </c>
      <c r="CI198" t="s">
        <v>268</v>
      </c>
      <c r="CK198" s="30">
        <f t="shared" si="27"/>
        <v>3</v>
      </c>
      <c r="CL198">
        <f t="shared" si="28"/>
        <v>7</v>
      </c>
    </row>
    <row r="199" spans="1:90" hidden="1" x14ac:dyDescent="0.35">
      <c r="A199" t="s">
        <v>856</v>
      </c>
      <c r="B199" t="s">
        <v>822</v>
      </c>
      <c r="C199" t="s">
        <v>823</v>
      </c>
      <c r="D199" t="s">
        <v>824</v>
      </c>
      <c r="E199" t="s">
        <v>825</v>
      </c>
      <c r="F199">
        <v>2018</v>
      </c>
      <c r="G199" t="s">
        <v>844</v>
      </c>
      <c r="I199" t="s">
        <v>333</v>
      </c>
      <c r="K199" t="s">
        <v>180</v>
      </c>
      <c r="L199" t="s">
        <v>181</v>
      </c>
      <c r="M199" t="s">
        <v>364</v>
      </c>
      <c r="N199" t="s">
        <v>179</v>
      </c>
      <c r="O199" t="s">
        <v>188</v>
      </c>
      <c r="P199" t="s">
        <v>827</v>
      </c>
      <c r="Q199" t="s">
        <v>188</v>
      </c>
      <c r="S199" t="s">
        <v>204</v>
      </c>
      <c r="U199" t="s">
        <v>1117</v>
      </c>
      <c r="V199" t="s">
        <v>268</v>
      </c>
      <c r="X199" t="s">
        <v>269</v>
      </c>
      <c r="AE199" t="s">
        <v>273</v>
      </c>
      <c r="AG199" t="s">
        <v>275</v>
      </c>
      <c r="AI199" t="s">
        <v>345</v>
      </c>
      <c r="AK199">
        <v>0.82</v>
      </c>
      <c r="AL199" t="s">
        <v>843</v>
      </c>
      <c r="AM199">
        <v>35</v>
      </c>
      <c r="AO199" t="s">
        <v>1106</v>
      </c>
      <c r="AP199" t="s">
        <v>282</v>
      </c>
      <c r="AQ199" t="s">
        <v>283</v>
      </c>
      <c r="AR199" t="s">
        <v>476</v>
      </c>
      <c r="AS199" t="s">
        <v>1094</v>
      </c>
      <c r="AT199" t="s">
        <v>715</v>
      </c>
      <c r="AU199">
        <v>19485</v>
      </c>
      <c r="AV199" s="30">
        <v>2</v>
      </c>
      <c r="AW199" t="s">
        <v>287</v>
      </c>
      <c r="AX199" t="s">
        <v>191</v>
      </c>
      <c r="AZ199" t="s">
        <v>829</v>
      </c>
      <c r="BA199">
        <v>0</v>
      </c>
      <c r="BB199" t="s">
        <v>290</v>
      </c>
      <c r="BC199" t="s">
        <v>261</v>
      </c>
      <c r="BE199" t="s">
        <v>559</v>
      </c>
      <c r="BF199" t="s">
        <v>291</v>
      </c>
      <c r="BG199" t="s">
        <v>297</v>
      </c>
      <c r="BH199" t="s">
        <v>282</v>
      </c>
      <c r="BI199">
        <v>2</v>
      </c>
      <c r="BJ199" t="s">
        <v>322</v>
      </c>
      <c r="BK199" t="s">
        <v>830</v>
      </c>
      <c r="BL199" t="s">
        <v>839</v>
      </c>
      <c r="BM199" t="s">
        <v>842</v>
      </c>
      <c r="BN199" t="str">
        <f t="shared" si="25"/>
        <v>ENR-NoPAS/FST-NoPAS_ENR+PAS/FST-NoPAS</v>
      </c>
      <c r="BO199" t="s">
        <v>268</v>
      </c>
      <c r="BQ199">
        <v>8</v>
      </c>
      <c r="BR199">
        <v>8</v>
      </c>
      <c r="BS199" s="35">
        <v>104.66666669999999</v>
      </c>
      <c r="BT199" s="35">
        <v>15</v>
      </c>
      <c r="BU199" s="35">
        <v>42.426406870000001</v>
      </c>
      <c r="BV199" s="35"/>
      <c r="BW199" s="35">
        <v>100</v>
      </c>
      <c r="BX199" s="35">
        <v>23</v>
      </c>
      <c r="BY199" s="35">
        <v>65.053823870000002</v>
      </c>
      <c r="CB199" t="s">
        <v>268</v>
      </c>
      <c r="CD199" t="s">
        <v>267</v>
      </c>
      <c r="CE199" t="s">
        <v>267</v>
      </c>
      <c r="CF199" t="s">
        <v>309</v>
      </c>
      <c r="CG199" t="s">
        <v>268</v>
      </c>
      <c r="CI199" t="s">
        <v>268</v>
      </c>
      <c r="CK199" s="30">
        <f t="shared" si="27"/>
        <v>3</v>
      </c>
      <c r="CL199">
        <f t="shared" si="28"/>
        <v>7</v>
      </c>
    </row>
    <row r="200" spans="1:90" hidden="1" x14ac:dyDescent="0.35">
      <c r="A200" t="s">
        <v>857</v>
      </c>
      <c r="B200" t="s">
        <v>822</v>
      </c>
      <c r="C200" t="s">
        <v>823</v>
      </c>
      <c r="D200" t="s">
        <v>824</v>
      </c>
      <c r="E200" t="s">
        <v>825</v>
      </c>
      <c r="F200">
        <v>2018</v>
      </c>
      <c r="G200" t="s">
        <v>845</v>
      </c>
      <c r="I200" t="s">
        <v>333</v>
      </c>
      <c r="K200" t="s">
        <v>180</v>
      </c>
      <c r="L200" t="s">
        <v>181</v>
      </c>
      <c r="M200" t="s">
        <v>364</v>
      </c>
      <c r="N200" t="s">
        <v>179</v>
      </c>
      <c r="O200" t="s">
        <v>188</v>
      </c>
      <c r="P200" t="s">
        <v>827</v>
      </c>
      <c r="Q200" t="s">
        <v>188</v>
      </c>
      <c r="S200" t="s">
        <v>204</v>
      </c>
      <c r="U200" t="s">
        <v>1117</v>
      </c>
      <c r="V200" t="s">
        <v>268</v>
      </c>
      <c r="X200" t="s">
        <v>269</v>
      </c>
      <c r="AE200" t="s">
        <v>273</v>
      </c>
      <c r="AG200" t="s">
        <v>277</v>
      </c>
      <c r="AI200" t="s">
        <v>345</v>
      </c>
      <c r="AK200">
        <v>0.82</v>
      </c>
      <c r="AL200" t="s">
        <v>843</v>
      </c>
      <c r="AM200">
        <v>35</v>
      </c>
      <c r="AO200" t="s">
        <v>1106</v>
      </c>
      <c r="AP200" t="s">
        <v>282</v>
      </c>
      <c r="AQ200" t="s">
        <v>283</v>
      </c>
      <c r="AR200" t="s">
        <v>476</v>
      </c>
      <c r="AS200" t="s">
        <v>1094</v>
      </c>
      <c r="AT200" t="s">
        <v>715</v>
      </c>
      <c r="AU200">
        <v>19485</v>
      </c>
      <c r="AV200" s="30">
        <v>2</v>
      </c>
      <c r="AW200" t="s">
        <v>287</v>
      </c>
      <c r="AX200" t="s">
        <v>191</v>
      </c>
      <c r="AZ200" t="s">
        <v>829</v>
      </c>
      <c r="BA200">
        <v>0</v>
      </c>
      <c r="BB200" t="s">
        <v>290</v>
      </c>
      <c r="BC200" t="s">
        <v>261</v>
      </c>
      <c r="BE200" t="s">
        <v>559</v>
      </c>
      <c r="BF200" t="s">
        <v>291</v>
      </c>
      <c r="BG200" t="s">
        <v>297</v>
      </c>
      <c r="BH200" t="s">
        <v>282</v>
      </c>
      <c r="BI200">
        <v>2</v>
      </c>
      <c r="BJ200" t="s">
        <v>322</v>
      </c>
      <c r="BK200" t="s">
        <v>830</v>
      </c>
      <c r="BL200" t="s">
        <v>839</v>
      </c>
      <c r="BM200" t="s">
        <v>841</v>
      </c>
      <c r="BN200" t="str">
        <f t="shared" si="25"/>
        <v>ENR-NoPAS/FST-NoPAS_ENR+PAS/FST+PAS</v>
      </c>
      <c r="BO200" t="s">
        <v>268</v>
      </c>
      <c r="BQ200">
        <v>8</v>
      </c>
      <c r="BR200">
        <v>7</v>
      </c>
      <c r="BS200" s="35">
        <v>104.66666669999999</v>
      </c>
      <c r="BT200" s="35">
        <v>15</v>
      </c>
      <c r="BU200" s="35">
        <v>42.426406870000001</v>
      </c>
      <c r="BV200" s="35"/>
      <c r="BW200" s="35">
        <v>33</v>
      </c>
      <c r="BX200" s="35">
        <v>8</v>
      </c>
      <c r="BY200" s="35">
        <v>21.166010490000001</v>
      </c>
      <c r="CB200" t="s">
        <v>268</v>
      </c>
      <c r="CD200" t="s">
        <v>267</v>
      </c>
      <c r="CE200" t="s">
        <v>267</v>
      </c>
      <c r="CF200" t="s">
        <v>309</v>
      </c>
      <c r="CG200" t="s">
        <v>268</v>
      </c>
      <c r="CI200" t="s">
        <v>268</v>
      </c>
      <c r="CK200" s="30">
        <f t="shared" si="27"/>
        <v>3</v>
      </c>
      <c r="CL200">
        <f t="shared" si="28"/>
        <v>7</v>
      </c>
    </row>
    <row r="201" spans="1:90" hidden="1" x14ac:dyDescent="0.35">
      <c r="A201" t="s">
        <v>858</v>
      </c>
      <c r="B201" t="s">
        <v>822</v>
      </c>
      <c r="C201" t="s">
        <v>823</v>
      </c>
      <c r="D201" t="s">
        <v>824</v>
      </c>
      <c r="E201" t="s">
        <v>825</v>
      </c>
      <c r="F201">
        <v>2018</v>
      </c>
      <c r="G201" t="s">
        <v>454</v>
      </c>
      <c r="I201" t="s">
        <v>334</v>
      </c>
      <c r="K201" t="s">
        <v>180</v>
      </c>
      <c r="L201" t="s">
        <v>181</v>
      </c>
      <c r="M201" t="s">
        <v>364</v>
      </c>
      <c r="N201" t="s">
        <v>179</v>
      </c>
      <c r="O201" t="s">
        <v>188</v>
      </c>
      <c r="P201" t="s">
        <v>827</v>
      </c>
      <c r="Q201" t="s">
        <v>188</v>
      </c>
      <c r="S201" t="s">
        <v>204</v>
      </c>
      <c r="U201" t="s">
        <v>1117</v>
      </c>
      <c r="V201" t="s">
        <v>268</v>
      </c>
      <c r="X201" t="s">
        <v>269</v>
      </c>
      <c r="AE201" t="s">
        <v>273</v>
      </c>
      <c r="AG201" t="s">
        <v>276</v>
      </c>
      <c r="AI201" t="s">
        <v>345</v>
      </c>
      <c r="AK201">
        <v>0.82</v>
      </c>
      <c r="AL201" t="s">
        <v>843</v>
      </c>
      <c r="AM201">
        <v>35</v>
      </c>
      <c r="AO201" t="s">
        <v>1106</v>
      </c>
      <c r="AP201" t="s">
        <v>282</v>
      </c>
      <c r="AQ201" t="s">
        <v>283</v>
      </c>
      <c r="AR201" t="s">
        <v>476</v>
      </c>
      <c r="AS201" t="s">
        <v>1094</v>
      </c>
      <c r="AT201" t="s">
        <v>715</v>
      </c>
      <c r="AU201">
        <v>19485</v>
      </c>
      <c r="AV201" s="30">
        <v>2</v>
      </c>
      <c r="AW201" t="s">
        <v>287</v>
      </c>
      <c r="AX201" t="s">
        <v>191</v>
      </c>
      <c r="AZ201" t="s">
        <v>829</v>
      </c>
      <c r="BA201">
        <v>0</v>
      </c>
      <c r="BB201" t="s">
        <v>290</v>
      </c>
      <c r="BC201" t="s">
        <v>261</v>
      </c>
      <c r="BE201" t="s">
        <v>835</v>
      </c>
      <c r="BF201" t="s">
        <v>294</v>
      </c>
      <c r="BG201" t="s">
        <v>300</v>
      </c>
      <c r="BH201" t="s">
        <v>282</v>
      </c>
      <c r="BI201">
        <v>2</v>
      </c>
      <c r="BJ201" t="s">
        <v>322</v>
      </c>
      <c r="BK201" t="s">
        <v>836</v>
      </c>
      <c r="BL201" t="s">
        <v>839</v>
      </c>
      <c r="BM201" t="s">
        <v>840</v>
      </c>
      <c r="BN201" t="str">
        <f>_xlfn.CONCAT(BL201:BM201)</f>
        <v>ENR-NoPAS/FST-NoPAS_ENR-NoPAS/FST+PAS</v>
      </c>
      <c r="BO201" t="s">
        <v>268</v>
      </c>
      <c r="BQ201">
        <v>8</v>
      </c>
      <c r="BR201">
        <v>8</v>
      </c>
      <c r="BS201" s="35">
        <v>11.2605042</v>
      </c>
      <c r="BT201" s="35">
        <v>2.0588235290000001</v>
      </c>
      <c r="BU201" s="35">
        <v>5.8232323160000004</v>
      </c>
      <c r="BV201" s="35"/>
      <c r="BW201" s="35">
        <v>19.70588235</v>
      </c>
      <c r="BX201" s="35">
        <v>1.596638655</v>
      </c>
      <c r="BY201" s="35">
        <v>4.5159760819999999</v>
      </c>
      <c r="CB201" t="s">
        <v>268</v>
      </c>
      <c r="CD201" t="s">
        <v>267</v>
      </c>
      <c r="CE201" t="s">
        <v>267</v>
      </c>
      <c r="CF201" t="s">
        <v>309</v>
      </c>
      <c r="CG201" t="s">
        <v>268</v>
      </c>
      <c r="CI201" t="s">
        <v>268</v>
      </c>
      <c r="CK201" s="30">
        <f t="shared" si="27"/>
        <v>3</v>
      </c>
      <c r="CL201">
        <f t="shared" si="28"/>
        <v>7</v>
      </c>
    </row>
    <row r="202" spans="1:90" hidden="1" x14ac:dyDescent="0.35">
      <c r="A202" t="s">
        <v>859</v>
      </c>
      <c r="B202" t="s">
        <v>822</v>
      </c>
      <c r="C202" t="s">
        <v>823</v>
      </c>
      <c r="D202" t="s">
        <v>824</v>
      </c>
      <c r="E202" t="s">
        <v>825</v>
      </c>
      <c r="F202">
        <v>2018</v>
      </c>
      <c r="G202" t="s">
        <v>844</v>
      </c>
      <c r="I202" t="s">
        <v>334</v>
      </c>
      <c r="K202" t="s">
        <v>180</v>
      </c>
      <c r="L202" t="s">
        <v>181</v>
      </c>
      <c r="M202" t="s">
        <v>364</v>
      </c>
      <c r="N202" t="s">
        <v>179</v>
      </c>
      <c r="O202" t="s">
        <v>188</v>
      </c>
      <c r="P202" t="s">
        <v>827</v>
      </c>
      <c r="Q202" t="s">
        <v>188</v>
      </c>
      <c r="S202" t="s">
        <v>204</v>
      </c>
      <c r="U202" t="s">
        <v>1117</v>
      </c>
      <c r="V202" t="s">
        <v>268</v>
      </c>
      <c r="X202" t="s">
        <v>269</v>
      </c>
      <c r="AE202" t="s">
        <v>273</v>
      </c>
      <c r="AG202" t="s">
        <v>275</v>
      </c>
      <c r="AI202" t="s">
        <v>345</v>
      </c>
      <c r="AK202">
        <v>0.82</v>
      </c>
      <c r="AL202" t="s">
        <v>843</v>
      </c>
      <c r="AM202">
        <v>35</v>
      </c>
      <c r="AO202" t="s">
        <v>1106</v>
      </c>
      <c r="AP202" t="s">
        <v>282</v>
      </c>
      <c r="AQ202" t="s">
        <v>283</v>
      </c>
      <c r="AR202" t="s">
        <v>476</v>
      </c>
      <c r="AS202" t="s">
        <v>1094</v>
      </c>
      <c r="AT202" t="s">
        <v>715</v>
      </c>
      <c r="AU202">
        <v>19485</v>
      </c>
      <c r="AV202" s="30">
        <v>2</v>
      </c>
      <c r="AW202" t="s">
        <v>287</v>
      </c>
      <c r="AX202" t="s">
        <v>191</v>
      </c>
      <c r="AZ202" t="s">
        <v>829</v>
      </c>
      <c r="BA202">
        <v>0</v>
      </c>
      <c r="BB202" t="s">
        <v>290</v>
      </c>
      <c r="BC202" t="s">
        <v>261</v>
      </c>
      <c r="BE202" t="s">
        <v>835</v>
      </c>
      <c r="BF202" t="s">
        <v>294</v>
      </c>
      <c r="BG202" t="s">
        <v>300</v>
      </c>
      <c r="BH202" t="s">
        <v>282</v>
      </c>
      <c r="BI202">
        <v>2</v>
      </c>
      <c r="BJ202" t="s">
        <v>322</v>
      </c>
      <c r="BK202" t="s">
        <v>836</v>
      </c>
      <c r="BL202" t="s">
        <v>839</v>
      </c>
      <c r="BM202" t="s">
        <v>842</v>
      </c>
      <c r="BN202" t="str">
        <f t="shared" si="25"/>
        <v>ENR-NoPAS/FST-NoPAS_ENR+PAS/FST-NoPAS</v>
      </c>
      <c r="BO202" t="s">
        <v>268</v>
      </c>
      <c r="BQ202">
        <v>8</v>
      </c>
      <c r="BR202">
        <v>8</v>
      </c>
      <c r="BS202" s="35">
        <v>11.2605042</v>
      </c>
      <c r="BT202" s="35">
        <v>2.0588235290000001</v>
      </c>
      <c r="BU202" s="35">
        <v>5.8232323160000004</v>
      </c>
      <c r="BV202" s="35"/>
      <c r="BW202" s="35">
        <v>7.9831932769999998</v>
      </c>
      <c r="BX202" s="35">
        <v>1.4705882349999999</v>
      </c>
      <c r="BY202" s="35">
        <v>4.1594516539999997</v>
      </c>
      <c r="CB202" t="s">
        <v>268</v>
      </c>
      <c r="CD202" t="s">
        <v>267</v>
      </c>
      <c r="CE202" t="s">
        <v>267</v>
      </c>
      <c r="CF202" t="s">
        <v>309</v>
      </c>
      <c r="CG202" t="s">
        <v>268</v>
      </c>
      <c r="CI202" t="s">
        <v>268</v>
      </c>
      <c r="CK202" s="30">
        <f t="shared" si="27"/>
        <v>3</v>
      </c>
      <c r="CL202">
        <f t="shared" si="28"/>
        <v>7</v>
      </c>
    </row>
    <row r="203" spans="1:90" hidden="1" x14ac:dyDescent="0.35">
      <c r="A203" t="s">
        <v>860</v>
      </c>
      <c r="B203" t="s">
        <v>822</v>
      </c>
      <c r="C203" t="s">
        <v>823</v>
      </c>
      <c r="D203" t="s">
        <v>824</v>
      </c>
      <c r="E203" t="s">
        <v>825</v>
      </c>
      <c r="F203">
        <v>2018</v>
      </c>
      <c r="G203" t="s">
        <v>845</v>
      </c>
      <c r="I203" t="s">
        <v>334</v>
      </c>
      <c r="K203" t="s">
        <v>180</v>
      </c>
      <c r="L203" t="s">
        <v>181</v>
      </c>
      <c r="M203" t="s">
        <v>364</v>
      </c>
      <c r="N203" t="s">
        <v>179</v>
      </c>
      <c r="O203" t="s">
        <v>188</v>
      </c>
      <c r="P203" t="s">
        <v>827</v>
      </c>
      <c r="Q203" t="s">
        <v>188</v>
      </c>
      <c r="S203" t="s">
        <v>204</v>
      </c>
      <c r="U203" t="s">
        <v>1117</v>
      </c>
      <c r="V203" t="s">
        <v>268</v>
      </c>
      <c r="X203" t="s">
        <v>269</v>
      </c>
      <c r="AE203" t="s">
        <v>273</v>
      </c>
      <c r="AG203" t="s">
        <v>277</v>
      </c>
      <c r="AI203" t="s">
        <v>345</v>
      </c>
      <c r="AK203">
        <v>0.82</v>
      </c>
      <c r="AL203" t="s">
        <v>843</v>
      </c>
      <c r="AM203">
        <v>35</v>
      </c>
      <c r="AO203" t="s">
        <v>1106</v>
      </c>
      <c r="AP203" t="s">
        <v>282</v>
      </c>
      <c r="AQ203" t="s">
        <v>283</v>
      </c>
      <c r="AR203" t="s">
        <v>476</v>
      </c>
      <c r="AS203" t="s">
        <v>1094</v>
      </c>
      <c r="AT203" t="s">
        <v>715</v>
      </c>
      <c r="AU203">
        <v>19485</v>
      </c>
      <c r="AV203" s="30">
        <v>2</v>
      </c>
      <c r="AW203" t="s">
        <v>287</v>
      </c>
      <c r="AX203" t="s">
        <v>191</v>
      </c>
      <c r="AZ203" t="s">
        <v>829</v>
      </c>
      <c r="BA203">
        <v>0</v>
      </c>
      <c r="BB203" t="s">
        <v>290</v>
      </c>
      <c r="BC203" t="s">
        <v>261</v>
      </c>
      <c r="BE203" t="s">
        <v>835</v>
      </c>
      <c r="BF203" t="s">
        <v>294</v>
      </c>
      <c r="BG203" t="s">
        <v>300</v>
      </c>
      <c r="BH203" t="s">
        <v>282</v>
      </c>
      <c r="BI203">
        <v>2</v>
      </c>
      <c r="BJ203" t="s">
        <v>322</v>
      </c>
      <c r="BK203" t="s">
        <v>836</v>
      </c>
      <c r="BL203" t="s">
        <v>839</v>
      </c>
      <c r="BM203" t="s">
        <v>841</v>
      </c>
      <c r="BN203" t="str">
        <f t="shared" si="25"/>
        <v>ENR-NoPAS/FST-NoPAS_ENR+PAS/FST+PAS</v>
      </c>
      <c r="BO203" t="s">
        <v>268</v>
      </c>
      <c r="BQ203">
        <v>8</v>
      </c>
      <c r="BR203">
        <v>7</v>
      </c>
      <c r="BS203" s="35">
        <v>11.2605042</v>
      </c>
      <c r="BT203" s="35">
        <v>2.0588235290000001</v>
      </c>
      <c r="BU203" s="35">
        <v>5.8232323160000004</v>
      </c>
      <c r="BV203" s="35"/>
      <c r="BW203" s="35">
        <v>5.5042016809999996</v>
      </c>
      <c r="BX203" s="35">
        <v>1.134453782</v>
      </c>
      <c r="BY203" s="35">
        <v>3.0014825799999998</v>
      </c>
      <c r="CB203" t="s">
        <v>268</v>
      </c>
      <c r="CD203" t="s">
        <v>267</v>
      </c>
      <c r="CE203" t="s">
        <v>267</v>
      </c>
      <c r="CF203" t="s">
        <v>309</v>
      </c>
      <c r="CG203" t="s">
        <v>268</v>
      </c>
      <c r="CI203" t="s">
        <v>268</v>
      </c>
      <c r="CK203" s="30">
        <f t="shared" si="27"/>
        <v>3</v>
      </c>
      <c r="CL203">
        <f t="shared" si="28"/>
        <v>7</v>
      </c>
    </row>
    <row r="204" spans="1:90" hidden="1" x14ac:dyDescent="0.35">
      <c r="A204" t="s">
        <v>861</v>
      </c>
      <c r="B204" t="s">
        <v>822</v>
      </c>
      <c r="C204" t="s">
        <v>823</v>
      </c>
      <c r="D204" t="s">
        <v>824</v>
      </c>
      <c r="E204" t="s">
        <v>825</v>
      </c>
      <c r="F204">
        <v>2018</v>
      </c>
      <c r="G204" t="s">
        <v>454</v>
      </c>
      <c r="I204" t="s">
        <v>335</v>
      </c>
      <c r="K204" t="s">
        <v>180</v>
      </c>
      <c r="L204" t="s">
        <v>181</v>
      </c>
      <c r="M204" t="s">
        <v>364</v>
      </c>
      <c r="N204" t="s">
        <v>179</v>
      </c>
      <c r="O204" t="s">
        <v>188</v>
      </c>
      <c r="P204" t="s">
        <v>827</v>
      </c>
      <c r="Q204" t="s">
        <v>188</v>
      </c>
      <c r="S204" t="s">
        <v>204</v>
      </c>
      <c r="U204" t="s">
        <v>1117</v>
      </c>
      <c r="V204" t="s">
        <v>268</v>
      </c>
      <c r="X204" t="s">
        <v>269</v>
      </c>
      <c r="AE204" t="s">
        <v>273</v>
      </c>
      <c r="AG204" t="s">
        <v>276</v>
      </c>
      <c r="AI204" t="s">
        <v>345</v>
      </c>
      <c r="AK204">
        <v>0.82</v>
      </c>
      <c r="AL204" t="s">
        <v>843</v>
      </c>
      <c r="AM204">
        <v>35</v>
      </c>
      <c r="AO204" t="s">
        <v>1106</v>
      </c>
      <c r="AP204" t="s">
        <v>282</v>
      </c>
      <c r="AQ204" t="s">
        <v>283</v>
      </c>
      <c r="AR204" t="s">
        <v>476</v>
      </c>
      <c r="AS204" t="s">
        <v>1094</v>
      </c>
      <c r="AT204" t="s">
        <v>715</v>
      </c>
      <c r="AU204">
        <v>19485</v>
      </c>
      <c r="AV204" s="30">
        <v>2</v>
      </c>
      <c r="AW204" t="s">
        <v>287</v>
      </c>
      <c r="AX204" t="s">
        <v>191</v>
      </c>
      <c r="AZ204" t="s">
        <v>829</v>
      </c>
      <c r="BA204">
        <v>0</v>
      </c>
      <c r="BB204" t="s">
        <v>290</v>
      </c>
      <c r="BC204" t="s">
        <v>261</v>
      </c>
      <c r="BE204" t="s">
        <v>837</v>
      </c>
      <c r="BF204" t="s">
        <v>291</v>
      </c>
      <c r="BG204" t="s">
        <v>297</v>
      </c>
      <c r="BH204" t="s">
        <v>282</v>
      </c>
      <c r="BI204">
        <v>2</v>
      </c>
      <c r="BJ204" t="s">
        <v>322</v>
      </c>
      <c r="BK204" t="s">
        <v>838</v>
      </c>
      <c r="BL204" t="s">
        <v>839</v>
      </c>
      <c r="BM204" t="s">
        <v>840</v>
      </c>
      <c r="BN204" t="str">
        <f t="shared" si="25"/>
        <v>ENR-NoPAS/FST-NoPAS_ENR-NoPAS/FST+PAS</v>
      </c>
      <c r="BO204" t="s">
        <v>267</v>
      </c>
      <c r="BQ204">
        <v>8</v>
      </c>
      <c r="BR204">
        <v>8</v>
      </c>
      <c r="BS204" s="35">
        <v>79.173166929999994</v>
      </c>
      <c r="BT204" s="35">
        <v>10.140405619999999</v>
      </c>
      <c r="BU204" s="35">
        <v>28.681398300000001</v>
      </c>
      <c r="BV204" s="35"/>
      <c r="BW204" s="35">
        <v>31.20124805</v>
      </c>
      <c r="BX204" s="35">
        <v>8.5803432140000009</v>
      </c>
      <c r="BY204" s="35">
        <v>24.268875489999999</v>
      </c>
      <c r="CB204" t="s">
        <v>268</v>
      </c>
      <c r="CD204" t="s">
        <v>267</v>
      </c>
      <c r="CE204" t="s">
        <v>267</v>
      </c>
      <c r="CF204" t="s">
        <v>309</v>
      </c>
      <c r="CG204" t="s">
        <v>268</v>
      </c>
      <c r="CI204" t="s">
        <v>268</v>
      </c>
      <c r="CK204" s="30">
        <f t="shared" si="27"/>
        <v>3</v>
      </c>
      <c r="CL204">
        <f t="shared" si="28"/>
        <v>7</v>
      </c>
    </row>
    <row r="205" spans="1:90" hidden="1" x14ac:dyDescent="0.35">
      <c r="A205" t="s">
        <v>862</v>
      </c>
      <c r="B205" t="s">
        <v>822</v>
      </c>
      <c r="C205" t="s">
        <v>823</v>
      </c>
      <c r="D205" t="s">
        <v>824</v>
      </c>
      <c r="E205" t="s">
        <v>825</v>
      </c>
      <c r="F205">
        <v>2018</v>
      </c>
      <c r="G205" t="s">
        <v>844</v>
      </c>
      <c r="I205" t="s">
        <v>335</v>
      </c>
      <c r="K205" t="s">
        <v>180</v>
      </c>
      <c r="L205" t="s">
        <v>181</v>
      </c>
      <c r="M205" t="s">
        <v>364</v>
      </c>
      <c r="N205" t="s">
        <v>179</v>
      </c>
      <c r="O205" t="s">
        <v>188</v>
      </c>
      <c r="P205" t="s">
        <v>827</v>
      </c>
      <c r="Q205" t="s">
        <v>188</v>
      </c>
      <c r="S205" t="s">
        <v>204</v>
      </c>
      <c r="U205" t="s">
        <v>1117</v>
      </c>
      <c r="V205" t="s">
        <v>268</v>
      </c>
      <c r="X205" t="s">
        <v>269</v>
      </c>
      <c r="AE205" t="s">
        <v>273</v>
      </c>
      <c r="AG205" t="s">
        <v>275</v>
      </c>
      <c r="AI205" t="s">
        <v>345</v>
      </c>
      <c r="AK205">
        <v>0.82</v>
      </c>
      <c r="AL205" t="s">
        <v>843</v>
      </c>
      <c r="AM205">
        <v>35</v>
      </c>
      <c r="AO205" t="s">
        <v>1106</v>
      </c>
      <c r="AP205" t="s">
        <v>282</v>
      </c>
      <c r="AQ205" t="s">
        <v>283</v>
      </c>
      <c r="AR205" t="s">
        <v>476</v>
      </c>
      <c r="AS205" t="s">
        <v>1094</v>
      </c>
      <c r="AT205" t="s">
        <v>715</v>
      </c>
      <c r="AU205">
        <v>19485</v>
      </c>
      <c r="AV205" s="30">
        <v>2</v>
      </c>
      <c r="AW205" t="s">
        <v>287</v>
      </c>
      <c r="AX205" t="s">
        <v>191</v>
      </c>
      <c r="AZ205" t="s">
        <v>829</v>
      </c>
      <c r="BA205">
        <v>0</v>
      </c>
      <c r="BB205" t="s">
        <v>290</v>
      </c>
      <c r="BC205" t="s">
        <v>261</v>
      </c>
      <c r="BE205" t="s">
        <v>450</v>
      </c>
      <c r="BF205" t="s">
        <v>291</v>
      </c>
      <c r="BG205" t="s">
        <v>297</v>
      </c>
      <c r="BH205" t="s">
        <v>282</v>
      </c>
      <c r="BI205">
        <v>2</v>
      </c>
      <c r="BJ205" t="s">
        <v>322</v>
      </c>
      <c r="BK205" t="s">
        <v>838</v>
      </c>
      <c r="BL205" t="s">
        <v>839</v>
      </c>
      <c r="BM205" t="s">
        <v>842</v>
      </c>
      <c r="BN205" t="str">
        <f t="shared" si="25"/>
        <v>ENR-NoPAS/FST-NoPAS_ENR+PAS/FST-NoPAS</v>
      </c>
      <c r="BO205" t="s">
        <v>267</v>
      </c>
      <c r="BQ205">
        <v>8</v>
      </c>
      <c r="BR205">
        <v>8</v>
      </c>
      <c r="BS205" s="35">
        <v>79.173166929999994</v>
      </c>
      <c r="BT205" s="35">
        <v>10.140405619999999</v>
      </c>
      <c r="BU205" s="35">
        <v>28.681398300000001</v>
      </c>
      <c r="BV205" s="35"/>
      <c r="BW205" s="35">
        <v>49.921996880000002</v>
      </c>
      <c r="BX205" s="35">
        <v>14.82059282</v>
      </c>
      <c r="BY205" s="35">
        <v>41.918966750000003</v>
      </c>
      <c r="CB205" t="s">
        <v>268</v>
      </c>
      <c r="CD205" t="s">
        <v>267</v>
      </c>
      <c r="CE205" t="s">
        <v>267</v>
      </c>
      <c r="CF205" t="s">
        <v>309</v>
      </c>
      <c r="CG205" t="s">
        <v>268</v>
      </c>
      <c r="CI205" t="s">
        <v>268</v>
      </c>
      <c r="CK205" s="30">
        <f t="shared" si="27"/>
        <v>3</v>
      </c>
      <c r="CL205">
        <f t="shared" si="28"/>
        <v>7</v>
      </c>
    </row>
    <row r="206" spans="1:90" hidden="1" x14ac:dyDescent="0.35">
      <c r="A206" t="s">
        <v>863</v>
      </c>
      <c r="B206" t="s">
        <v>822</v>
      </c>
      <c r="C206" t="s">
        <v>823</v>
      </c>
      <c r="D206" t="s">
        <v>824</v>
      </c>
      <c r="E206" t="s">
        <v>825</v>
      </c>
      <c r="F206">
        <v>2018</v>
      </c>
      <c r="G206" t="s">
        <v>845</v>
      </c>
      <c r="I206" t="s">
        <v>335</v>
      </c>
      <c r="K206" t="s">
        <v>180</v>
      </c>
      <c r="L206" t="s">
        <v>181</v>
      </c>
      <c r="M206" t="s">
        <v>364</v>
      </c>
      <c r="N206" t="s">
        <v>179</v>
      </c>
      <c r="O206" t="s">
        <v>188</v>
      </c>
      <c r="P206" t="s">
        <v>827</v>
      </c>
      <c r="Q206" t="s">
        <v>188</v>
      </c>
      <c r="S206" t="s">
        <v>204</v>
      </c>
      <c r="U206" t="s">
        <v>1117</v>
      </c>
      <c r="V206" t="s">
        <v>268</v>
      </c>
      <c r="X206" t="s">
        <v>269</v>
      </c>
      <c r="AE206" t="s">
        <v>273</v>
      </c>
      <c r="AG206" t="s">
        <v>277</v>
      </c>
      <c r="AI206" t="s">
        <v>345</v>
      </c>
      <c r="AK206">
        <v>0.82</v>
      </c>
      <c r="AL206" t="s">
        <v>843</v>
      </c>
      <c r="AM206">
        <v>35</v>
      </c>
      <c r="AO206" t="s">
        <v>1106</v>
      </c>
      <c r="AP206" t="s">
        <v>282</v>
      </c>
      <c r="AQ206" t="s">
        <v>283</v>
      </c>
      <c r="AR206" t="s">
        <v>476</v>
      </c>
      <c r="AS206" t="s">
        <v>1094</v>
      </c>
      <c r="AT206" t="s">
        <v>715</v>
      </c>
      <c r="AU206">
        <v>19485</v>
      </c>
      <c r="AV206" s="30">
        <v>2</v>
      </c>
      <c r="AW206" t="s">
        <v>287</v>
      </c>
      <c r="AX206" t="s">
        <v>191</v>
      </c>
      <c r="AZ206" t="s">
        <v>829</v>
      </c>
      <c r="BA206">
        <v>0</v>
      </c>
      <c r="BB206" t="s">
        <v>290</v>
      </c>
      <c r="BC206" t="s">
        <v>261</v>
      </c>
      <c r="BE206" t="s">
        <v>450</v>
      </c>
      <c r="BF206" t="s">
        <v>291</v>
      </c>
      <c r="BG206" t="s">
        <v>297</v>
      </c>
      <c r="BH206" t="s">
        <v>282</v>
      </c>
      <c r="BI206">
        <v>2</v>
      </c>
      <c r="BJ206" t="s">
        <v>322</v>
      </c>
      <c r="BK206" t="s">
        <v>838</v>
      </c>
      <c r="BL206" t="s">
        <v>839</v>
      </c>
      <c r="BM206" t="s">
        <v>841</v>
      </c>
      <c r="BN206" t="str">
        <f t="shared" si="25"/>
        <v>ENR-NoPAS/FST-NoPAS_ENR+PAS/FST+PAS</v>
      </c>
      <c r="BO206" t="s">
        <v>267</v>
      </c>
      <c r="BQ206">
        <v>8</v>
      </c>
      <c r="BR206">
        <v>7</v>
      </c>
      <c r="BS206" s="35">
        <v>79.173166929999994</v>
      </c>
      <c r="BT206" s="35">
        <v>10.140405619999999</v>
      </c>
      <c r="BU206" s="35">
        <v>28.681398300000001</v>
      </c>
      <c r="BV206" s="35"/>
      <c r="BW206" s="35">
        <v>148.98595940000001</v>
      </c>
      <c r="BX206" s="35">
        <v>41.731669269999998</v>
      </c>
      <c r="BY206" s="35">
        <v>110.41161870000001</v>
      </c>
      <c r="CB206" t="s">
        <v>268</v>
      </c>
      <c r="CD206" t="s">
        <v>267</v>
      </c>
      <c r="CE206" t="s">
        <v>267</v>
      </c>
      <c r="CF206" t="s">
        <v>309</v>
      </c>
      <c r="CG206" t="s">
        <v>268</v>
      </c>
      <c r="CI206" t="s">
        <v>268</v>
      </c>
      <c r="CK206" s="30">
        <f t="shared" si="27"/>
        <v>3</v>
      </c>
      <c r="CL206">
        <f t="shared" si="28"/>
        <v>7</v>
      </c>
    </row>
    <row r="207" spans="1:90" hidden="1" x14ac:dyDescent="0.35">
      <c r="A207" t="s">
        <v>881</v>
      </c>
      <c r="B207" t="s">
        <v>864</v>
      </c>
      <c r="C207" t="s">
        <v>865</v>
      </c>
      <c r="D207" t="s">
        <v>866</v>
      </c>
      <c r="E207" t="s">
        <v>867</v>
      </c>
      <c r="F207">
        <v>2024</v>
      </c>
      <c r="G207" t="s">
        <v>175</v>
      </c>
      <c r="I207" t="s">
        <v>176</v>
      </c>
      <c r="K207" t="s">
        <v>180</v>
      </c>
      <c r="L207" t="s">
        <v>181</v>
      </c>
      <c r="M207" t="s">
        <v>868</v>
      </c>
      <c r="N207" t="s">
        <v>179</v>
      </c>
      <c r="O207" t="s">
        <v>187</v>
      </c>
      <c r="P207" t="s">
        <v>869</v>
      </c>
      <c r="Q207" t="s">
        <v>187</v>
      </c>
      <c r="R207" t="s">
        <v>870</v>
      </c>
      <c r="S207" t="s">
        <v>204</v>
      </c>
      <c r="U207" t="s">
        <v>1117</v>
      </c>
      <c r="V207" t="s">
        <v>267</v>
      </c>
      <c r="W207" t="s">
        <v>317</v>
      </c>
      <c r="X207" t="s">
        <v>270</v>
      </c>
      <c r="Y207" t="s">
        <v>227</v>
      </c>
      <c r="AA207" t="s">
        <v>187</v>
      </c>
      <c r="AC207">
        <f>8*7</f>
        <v>56</v>
      </c>
      <c r="AE207" t="s">
        <v>273</v>
      </c>
      <c r="AG207" t="s">
        <v>275</v>
      </c>
      <c r="AI207" t="s">
        <v>345</v>
      </c>
      <c r="AK207">
        <v>2</v>
      </c>
      <c r="AM207">
        <f>4*7</f>
        <v>28</v>
      </c>
      <c r="AO207" t="s">
        <v>1105</v>
      </c>
      <c r="AP207" t="s">
        <v>282</v>
      </c>
      <c r="AQ207" t="s">
        <v>871</v>
      </c>
      <c r="AS207" t="s">
        <v>190</v>
      </c>
      <c r="AT207" t="s">
        <v>191</v>
      </c>
      <c r="AU207" t="s">
        <v>191</v>
      </c>
      <c r="AV207" s="30">
        <v>0</v>
      </c>
      <c r="AW207" t="s">
        <v>287</v>
      </c>
      <c r="AX207" t="s">
        <v>191</v>
      </c>
      <c r="AZ207" t="s">
        <v>829</v>
      </c>
      <c r="BA207">
        <v>0</v>
      </c>
      <c r="BB207" t="s">
        <v>290</v>
      </c>
      <c r="BC207" t="s">
        <v>257</v>
      </c>
      <c r="BE207" t="s">
        <v>526</v>
      </c>
      <c r="BF207" t="s">
        <v>292</v>
      </c>
      <c r="BG207" t="s">
        <v>298</v>
      </c>
      <c r="BH207" t="s">
        <v>191</v>
      </c>
      <c r="BI207">
        <v>1</v>
      </c>
      <c r="BJ207" t="s">
        <v>370</v>
      </c>
      <c r="BK207" t="s">
        <v>874</v>
      </c>
      <c r="BL207" t="s">
        <v>319</v>
      </c>
      <c r="BM207" t="s">
        <v>875</v>
      </c>
      <c r="BN207" t="str">
        <f t="shared" si="25"/>
        <v>CUMS_light</v>
      </c>
      <c r="BO207" t="s">
        <v>267</v>
      </c>
      <c r="BQ207">
        <v>11</v>
      </c>
      <c r="BR207">
        <v>11</v>
      </c>
      <c r="BS207" s="35">
        <v>51.612903225806498</v>
      </c>
      <c r="BT207" s="35">
        <v>3.5063113604487901</v>
      </c>
      <c r="BU207" s="35">
        <v>11.6291191807692</v>
      </c>
      <c r="BV207" s="35"/>
      <c r="BW207" s="35">
        <v>79.382889200560996</v>
      </c>
      <c r="BX207" s="35">
        <v>1.6830294530154399</v>
      </c>
      <c r="BY207" s="35">
        <v>5.5819772067692801</v>
      </c>
      <c r="CB207" t="s">
        <v>268</v>
      </c>
      <c r="CD207" t="s">
        <v>268</v>
      </c>
      <c r="CE207" t="s">
        <v>267</v>
      </c>
      <c r="CF207" t="s">
        <v>309</v>
      </c>
      <c r="CG207" t="s">
        <v>268</v>
      </c>
      <c r="CI207" t="s">
        <v>268</v>
      </c>
      <c r="CK207" s="30">
        <f t="shared" si="27"/>
        <v>2</v>
      </c>
      <c r="CL207">
        <f t="shared" si="28"/>
        <v>3</v>
      </c>
    </row>
    <row r="208" spans="1:90" hidden="1" x14ac:dyDescent="0.35">
      <c r="A208" t="s">
        <v>882</v>
      </c>
      <c r="B208" t="s">
        <v>864</v>
      </c>
      <c r="C208" t="s">
        <v>865</v>
      </c>
      <c r="D208" t="s">
        <v>866</v>
      </c>
      <c r="E208" t="s">
        <v>867</v>
      </c>
      <c r="F208">
        <v>2024</v>
      </c>
      <c r="G208" t="s">
        <v>344</v>
      </c>
      <c r="I208" t="s">
        <v>176</v>
      </c>
      <c r="K208" t="s">
        <v>180</v>
      </c>
      <c r="L208" t="s">
        <v>181</v>
      </c>
      <c r="M208" t="s">
        <v>868</v>
      </c>
      <c r="N208" t="s">
        <v>179</v>
      </c>
      <c r="O208" t="s">
        <v>187</v>
      </c>
      <c r="P208" t="s">
        <v>869</v>
      </c>
      <c r="Q208" t="s">
        <v>187</v>
      </c>
      <c r="R208" t="s">
        <v>870</v>
      </c>
      <c r="S208" t="s">
        <v>204</v>
      </c>
      <c r="U208" t="s">
        <v>1117</v>
      </c>
      <c r="V208" t="s">
        <v>267</v>
      </c>
      <c r="W208" t="s">
        <v>317</v>
      </c>
      <c r="X208" t="s">
        <v>270</v>
      </c>
      <c r="Y208" t="s">
        <v>227</v>
      </c>
      <c r="AA208" t="s">
        <v>187</v>
      </c>
      <c r="AC208">
        <f>8*7</f>
        <v>56</v>
      </c>
      <c r="AE208" t="s">
        <v>273</v>
      </c>
      <c r="AG208" t="s">
        <v>275</v>
      </c>
      <c r="AI208" t="s">
        <v>345</v>
      </c>
      <c r="AK208">
        <v>2</v>
      </c>
      <c r="AM208">
        <f>4*7</f>
        <v>28</v>
      </c>
      <c r="AO208" t="s">
        <v>1105</v>
      </c>
      <c r="AP208" t="s">
        <v>282</v>
      </c>
      <c r="AQ208" t="s">
        <v>283</v>
      </c>
      <c r="AS208" t="s">
        <v>1094</v>
      </c>
      <c r="AT208" t="s">
        <v>191</v>
      </c>
      <c r="AU208" t="s">
        <v>191</v>
      </c>
      <c r="AV208" s="30">
        <v>0</v>
      </c>
      <c r="AW208" t="s">
        <v>287</v>
      </c>
      <c r="AX208" t="s">
        <v>191</v>
      </c>
      <c r="AZ208" t="s">
        <v>829</v>
      </c>
      <c r="BA208">
        <v>0</v>
      </c>
      <c r="BB208" t="s">
        <v>290</v>
      </c>
      <c r="BC208" t="s">
        <v>257</v>
      </c>
      <c r="BE208" t="s">
        <v>526</v>
      </c>
      <c r="BF208" t="s">
        <v>292</v>
      </c>
      <c r="BG208" t="s">
        <v>298</v>
      </c>
      <c r="BH208" t="s">
        <v>191</v>
      </c>
      <c r="BI208">
        <v>1</v>
      </c>
      <c r="BJ208" t="s">
        <v>370</v>
      </c>
      <c r="BK208" t="s">
        <v>874</v>
      </c>
      <c r="BL208" t="s">
        <v>319</v>
      </c>
      <c r="BM208" t="s">
        <v>876</v>
      </c>
      <c r="BN208" t="str">
        <f t="shared" si="25"/>
        <v>CUMS_Classical</v>
      </c>
      <c r="BO208" t="s">
        <v>267</v>
      </c>
      <c r="BQ208">
        <v>11</v>
      </c>
      <c r="BR208">
        <v>11</v>
      </c>
      <c r="BS208" s="35">
        <v>51.612903225806498</v>
      </c>
      <c r="BT208" s="35">
        <v>3.5063113604487901</v>
      </c>
      <c r="BU208" s="35">
        <v>11.6291191807692</v>
      </c>
      <c r="BV208" s="35"/>
      <c r="BW208" s="35">
        <v>76.157082748948099</v>
      </c>
      <c r="BX208" s="35">
        <v>2.2440392706872401</v>
      </c>
      <c r="BY208" s="35">
        <v>7.4426362756923501</v>
      </c>
      <c r="CB208" t="s">
        <v>268</v>
      </c>
      <c r="CD208" t="s">
        <v>268</v>
      </c>
      <c r="CE208" t="s">
        <v>267</v>
      </c>
      <c r="CF208" t="s">
        <v>309</v>
      </c>
      <c r="CG208" t="s">
        <v>268</v>
      </c>
      <c r="CI208" t="s">
        <v>268</v>
      </c>
      <c r="CK208" s="30">
        <f t="shared" si="27"/>
        <v>2</v>
      </c>
      <c r="CL208">
        <f t="shared" si="28"/>
        <v>3</v>
      </c>
    </row>
    <row r="209" spans="1:90" hidden="1" x14ac:dyDescent="0.35">
      <c r="A209" t="s">
        <v>883</v>
      </c>
      <c r="B209" t="s">
        <v>864</v>
      </c>
      <c r="C209" t="s">
        <v>865</v>
      </c>
      <c r="D209" t="s">
        <v>866</v>
      </c>
      <c r="E209" t="s">
        <v>867</v>
      </c>
      <c r="F209">
        <v>2024</v>
      </c>
      <c r="G209" t="s">
        <v>453</v>
      </c>
      <c r="I209" t="s">
        <v>176</v>
      </c>
      <c r="K209" t="s">
        <v>180</v>
      </c>
      <c r="L209" t="s">
        <v>181</v>
      </c>
      <c r="M209" t="s">
        <v>868</v>
      </c>
      <c r="N209" t="s">
        <v>179</v>
      </c>
      <c r="O209" t="s">
        <v>187</v>
      </c>
      <c r="P209" t="s">
        <v>869</v>
      </c>
      <c r="Q209" t="s">
        <v>187</v>
      </c>
      <c r="R209" t="s">
        <v>870</v>
      </c>
      <c r="S209" t="s">
        <v>204</v>
      </c>
      <c r="U209" t="s">
        <v>1117</v>
      </c>
      <c r="V209" t="s">
        <v>267</v>
      </c>
      <c r="W209" t="s">
        <v>317</v>
      </c>
      <c r="X209" t="s">
        <v>270</v>
      </c>
      <c r="Y209" t="s">
        <v>227</v>
      </c>
      <c r="AA209" t="s">
        <v>187</v>
      </c>
      <c r="AC209">
        <f t="shared" ref="AC209:AC222" si="29">8*7</f>
        <v>56</v>
      </c>
      <c r="AE209" t="s">
        <v>273</v>
      </c>
      <c r="AG209" t="s">
        <v>275</v>
      </c>
      <c r="AI209" t="s">
        <v>345</v>
      </c>
      <c r="AK209">
        <v>2</v>
      </c>
      <c r="AM209">
        <f t="shared" ref="AM209:AM222" si="30">4*7</f>
        <v>28</v>
      </c>
      <c r="AO209" t="s">
        <v>1105</v>
      </c>
      <c r="AP209" t="s">
        <v>282</v>
      </c>
      <c r="AQ209" t="s">
        <v>872</v>
      </c>
      <c r="AS209" t="s">
        <v>1094</v>
      </c>
      <c r="AT209" t="s">
        <v>191</v>
      </c>
      <c r="AU209" t="s">
        <v>191</v>
      </c>
      <c r="AV209" s="30">
        <v>0</v>
      </c>
      <c r="AW209" t="s">
        <v>287</v>
      </c>
      <c r="AX209" t="s">
        <v>191</v>
      </c>
      <c r="AZ209" t="s">
        <v>829</v>
      </c>
      <c r="BA209">
        <v>0</v>
      </c>
      <c r="BB209" t="s">
        <v>290</v>
      </c>
      <c r="BC209" t="s">
        <v>257</v>
      </c>
      <c r="BE209" t="s">
        <v>526</v>
      </c>
      <c r="BF209" t="s">
        <v>292</v>
      </c>
      <c r="BG209" t="s">
        <v>298</v>
      </c>
      <c r="BH209" t="s">
        <v>191</v>
      </c>
      <c r="BI209">
        <v>1</v>
      </c>
      <c r="BJ209" t="s">
        <v>370</v>
      </c>
      <c r="BK209" t="s">
        <v>874</v>
      </c>
      <c r="BL209" t="s">
        <v>319</v>
      </c>
      <c r="BM209" t="s">
        <v>872</v>
      </c>
      <c r="BN209" t="str">
        <f t="shared" si="25"/>
        <v>CUMS_Atonal</v>
      </c>
      <c r="BO209" t="s">
        <v>267</v>
      </c>
      <c r="BQ209">
        <v>11</v>
      </c>
      <c r="BR209">
        <v>11</v>
      </c>
      <c r="BS209" s="35">
        <v>51.612903225806498</v>
      </c>
      <c r="BT209" s="35">
        <v>3.5063113604487901</v>
      </c>
      <c r="BU209" s="35">
        <v>11.6291191807692</v>
      </c>
      <c r="BV209" s="35"/>
      <c r="BW209" s="35">
        <v>63.1136044880786</v>
      </c>
      <c r="BX209" s="35">
        <v>4.6283309957924104</v>
      </c>
      <c r="BY209" s="35">
        <v>15.3504373186154</v>
      </c>
      <c r="CB209" t="s">
        <v>268</v>
      </c>
      <c r="CD209" t="s">
        <v>268</v>
      </c>
      <c r="CE209" t="s">
        <v>267</v>
      </c>
      <c r="CF209" t="s">
        <v>309</v>
      </c>
      <c r="CG209" t="s">
        <v>268</v>
      </c>
      <c r="CI209" t="s">
        <v>268</v>
      </c>
      <c r="CK209" s="30">
        <f t="shared" si="27"/>
        <v>2</v>
      </c>
      <c r="CL209">
        <f t="shared" si="28"/>
        <v>3</v>
      </c>
    </row>
    <row r="210" spans="1:90" hidden="1" x14ac:dyDescent="0.35">
      <c r="A210" t="s">
        <v>884</v>
      </c>
      <c r="B210" t="s">
        <v>864</v>
      </c>
      <c r="C210" t="s">
        <v>865</v>
      </c>
      <c r="D210" t="s">
        <v>866</v>
      </c>
      <c r="E210" t="s">
        <v>867</v>
      </c>
      <c r="F210">
        <v>2024</v>
      </c>
      <c r="G210" t="s">
        <v>454</v>
      </c>
      <c r="I210" t="s">
        <v>176</v>
      </c>
      <c r="K210" t="s">
        <v>180</v>
      </c>
      <c r="L210" t="s">
        <v>181</v>
      </c>
      <c r="M210" t="s">
        <v>868</v>
      </c>
      <c r="N210" t="s">
        <v>179</v>
      </c>
      <c r="O210" t="s">
        <v>187</v>
      </c>
      <c r="P210" t="s">
        <v>869</v>
      </c>
      <c r="Q210" t="s">
        <v>187</v>
      </c>
      <c r="R210" t="s">
        <v>870</v>
      </c>
      <c r="S210" t="s">
        <v>204</v>
      </c>
      <c r="U210" t="s">
        <v>1117</v>
      </c>
      <c r="V210" t="s">
        <v>267</v>
      </c>
      <c r="W210" t="s">
        <v>317</v>
      </c>
      <c r="X210" t="s">
        <v>270</v>
      </c>
      <c r="Y210" t="s">
        <v>227</v>
      </c>
      <c r="AA210" t="s">
        <v>187</v>
      </c>
      <c r="AC210">
        <f t="shared" si="29"/>
        <v>56</v>
      </c>
      <c r="AE210" t="s">
        <v>273</v>
      </c>
      <c r="AG210" t="s">
        <v>275</v>
      </c>
      <c r="AI210" t="s">
        <v>345</v>
      </c>
      <c r="AK210">
        <v>2</v>
      </c>
      <c r="AM210">
        <f t="shared" si="30"/>
        <v>28</v>
      </c>
      <c r="AO210" t="s">
        <v>1105</v>
      </c>
      <c r="AP210" t="s">
        <v>282</v>
      </c>
      <c r="AQ210" t="s">
        <v>873</v>
      </c>
      <c r="AS210" t="s">
        <v>1096</v>
      </c>
      <c r="AT210" t="s">
        <v>191</v>
      </c>
      <c r="AU210" t="s">
        <v>191</v>
      </c>
      <c r="AV210" s="30">
        <v>0</v>
      </c>
      <c r="AW210" t="s">
        <v>287</v>
      </c>
      <c r="AX210" t="s">
        <v>191</v>
      </c>
      <c r="AZ210" t="s">
        <v>829</v>
      </c>
      <c r="BA210">
        <v>0</v>
      </c>
      <c r="BB210" t="s">
        <v>290</v>
      </c>
      <c r="BC210" t="s">
        <v>257</v>
      </c>
      <c r="BE210" t="s">
        <v>526</v>
      </c>
      <c r="BF210" t="s">
        <v>292</v>
      </c>
      <c r="BG210" t="s">
        <v>298</v>
      </c>
      <c r="BH210" t="s">
        <v>191</v>
      </c>
      <c r="BI210">
        <v>1</v>
      </c>
      <c r="BJ210" t="s">
        <v>370</v>
      </c>
      <c r="BK210" t="s">
        <v>874</v>
      </c>
      <c r="BL210" t="s">
        <v>319</v>
      </c>
      <c r="BM210" t="s">
        <v>877</v>
      </c>
      <c r="BN210" t="str">
        <f t="shared" si="25"/>
        <v>CUMS_ROCK</v>
      </c>
      <c r="BO210" t="s">
        <v>267</v>
      </c>
      <c r="BQ210">
        <v>11</v>
      </c>
      <c r="BR210">
        <v>11</v>
      </c>
      <c r="BS210" s="35">
        <v>51.612903225806498</v>
      </c>
      <c r="BT210" s="35">
        <v>3.5063113604487901</v>
      </c>
      <c r="BU210" s="35">
        <v>11.6291191807692</v>
      </c>
      <c r="BV210" s="35"/>
      <c r="BW210" s="35">
        <v>63.534361851332399</v>
      </c>
      <c r="BX210" s="35">
        <v>5.6100981767180702</v>
      </c>
      <c r="BY210" s="35">
        <v>18.606590689230799</v>
      </c>
      <c r="CB210" t="s">
        <v>268</v>
      </c>
      <c r="CD210" t="s">
        <v>268</v>
      </c>
      <c r="CE210" t="s">
        <v>267</v>
      </c>
      <c r="CF210" t="s">
        <v>309</v>
      </c>
      <c r="CG210" t="s">
        <v>268</v>
      </c>
      <c r="CI210" t="s">
        <v>268</v>
      </c>
      <c r="CK210" s="30">
        <f t="shared" si="27"/>
        <v>2</v>
      </c>
      <c r="CL210">
        <f t="shared" si="28"/>
        <v>3</v>
      </c>
    </row>
    <row r="211" spans="1:90" hidden="1" x14ac:dyDescent="0.35">
      <c r="A211" t="s">
        <v>885</v>
      </c>
      <c r="B211" t="s">
        <v>864</v>
      </c>
      <c r="C211" t="s">
        <v>865</v>
      </c>
      <c r="D211" t="s">
        <v>866</v>
      </c>
      <c r="E211" t="s">
        <v>867</v>
      </c>
      <c r="F211">
        <v>2024</v>
      </c>
      <c r="G211" t="s">
        <v>175</v>
      </c>
      <c r="I211" t="s">
        <v>331</v>
      </c>
      <c r="K211" t="s">
        <v>180</v>
      </c>
      <c r="L211" t="s">
        <v>181</v>
      </c>
      <c r="M211" t="s">
        <v>868</v>
      </c>
      <c r="N211" t="s">
        <v>179</v>
      </c>
      <c r="O211" t="s">
        <v>187</v>
      </c>
      <c r="P211" t="s">
        <v>869</v>
      </c>
      <c r="Q211" t="s">
        <v>187</v>
      </c>
      <c r="R211" t="s">
        <v>870</v>
      </c>
      <c r="S211" t="s">
        <v>204</v>
      </c>
      <c r="U211" t="s">
        <v>1117</v>
      </c>
      <c r="V211" t="s">
        <v>267</v>
      </c>
      <c r="W211" t="s">
        <v>317</v>
      </c>
      <c r="X211" t="s">
        <v>270</v>
      </c>
      <c r="Y211" t="s">
        <v>227</v>
      </c>
      <c r="AA211" t="s">
        <v>187</v>
      </c>
      <c r="AC211">
        <f t="shared" si="29"/>
        <v>56</v>
      </c>
      <c r="AE211" t="s">
        <v>273</v>
      </c>
      <c r="AG211" t="s">
        <v>275</v>
      </c>
      <c r="AI211" t="s">
        <v>345</v>
      </c>
      <c r="AK211">
        <v>2</v>
      </c>
      <c r="AM211">
        <f t="shared" si="30"/>
        <v>28</v>
      </c>
      <c r="AO211" t="s">
        <v>1105</v>
      </c>
      <c r="AP211" t="s">
        <v>282</v>
      </c>
      <c r="AQ211" t="s">
        <v>871</v>
      </c>
      <c r="AS211" t="s">
        <v>190</v>
      </c>
      <c r="AT211" t="s">
        <v>191</v>
      </c>
      <c r="AU211" t="s">
        <v>191</v>
      </c>
      <c r="AV211" s="30">
        <v>0</v>
      </c>
      <c r="AW211" t="s">
        <v>287</v>
      </c>
      <c r="AX211" t="s">
        <v>191</v>
      </c>
      <c r="AZ211" t="s">
        <v>829</v>
      </c>
      <c r="BA211">
        <v>0</v>
      </c>
      <c r="BB211" t="s">
        <v>290</v>
      </c>
      <c r="BC211" t="s">
        <v>261</v>
      </c>
      <c r="BE211" t="s">
        <v>559</v>
      </c>
      <c r="BF211" t="s">
        <v>291</v>
      </c>
      <c r="BG211" t="s">
        <v>297</v>
      </c>
      <c r="BH211" t="s">
        <v>191</v>
      </c>
      <c r="BI211">
        <v>1</v>
      </c>
      <c r="BJ211" t="s">
        <v>370</v>
      </c>
      <c r="BK211" t="s">
        <v>878</v>
      </c>
      <c r="BL211" t="s">
        <v>319</v>
      </c>
      <c r="BM211" t="s">
        <v>875</v>
      </c>
      <c r="BN211" t="str">
        <f t="shared" si="25"/>
        <v>CUMS_light</v>
      </c>
      <c r="BO211" t="s">
        <v>268</v>
      </c>
      <c r="BQ211">
        <v>11</v>
      </c>
      <c r="BR211">
        <v>11</v>
      </c>
      <c r="BS211" s="35">
        <v>128.41726618704999</v>
      </c>
      <c r="BT211" s="35">
        <v>16.187050359712199</v>
      </c>
      <c r="BU211" s="35">
        <v>53.6863725057528</v>
      </c>
      <c r="BV211" s="35"/>
      <c r="BW211" s="35">
        <v>56.474820143884898</v>
      </c>
      <c r="BX211" s="35">
        <v>11.151079136690599</v>
      </c>
      <c r="BY211" s="35">
        <v>36.983945503963</v>
      </c>
      <c r="CB211" t="s">
        <v>268</v>
      </c>
      <c r="CD211" t="s">
        <v>268</v>
      </c>
      <c r="CE211" t="s">
        <v>267</v>
      </c>
      <c r="CF211" t="s">
        <v>309</v>
      </c>
      <c r="CG211" t="s">
        <v>268</v>
      </c>
      <c r="CI211" t="s">
        <v>268</v>
      </c>
      <c r="CK211" s="30">
        <f t="shared" si="27"/>
        <v>2</v>
      </c>
      <c r="CL211">
        <f t="shared" si="28"/>
        <v>3</v>
      </c>
    </row>
    <row r="212" spans="1:90" hidden="1" x14ac:dyDescent="0.35">
      <c r="A212" t="s">
        <v>886</v>
      </c>
      <c r="B212" t="s">
        <v>864</v>
      </c>
      <c r="C212" t="s">
        <v>865</v>
      </c>
      <c r="D212" t="s">
        <v>866</v>
      </c>
      <c r="E212" t="s">
        <v>867</v>
      </c>
      <c r="F212">
        <v>2024</v>
      </c>
      <c r="G212" t="s">
        <v>344</v>
      </c>
      <c r="I212" t="s">
        <v>331</v>
      </c>
      <c r="K212" t="s">
        <v>180</v>
      </c>
      <c r="L212" t="s">
        <v>181</v>
      </c>
      <c r="M212" t="s">
        <v>868</v>
      </c>
      <c r="N212" t="s">
        <v>179</v>
      </c>
      <c r="O212" t="s">
        <v>187</v>
      </c>
      <c r="P212" t="s">
        <v>869</v>
      </c>
      <c r="Q212" t="s">
        <v>187</v>
      </c>
      <c r="R212" t="s">
        <v>870</v>
      </c>
      <c r="S212" t="s">
        <v>204</v>
      </c>
      <c r="U212" t="s">
        <v>1117</v>
      </c>
      <c r="V212" t="s">
        <v>267</v>
      </c>
      <c r="W212" t="s">
        <v>317</v>
      </c>
      <c r="X212" t="s">
        <v>270</v>
      </c>
      <c r="Y212" t="s">
        <v>227</v>
      </c>
      <c r="AA212" t="s">
        <v>187</v>
      </c>
      <c r="AC212">
        <f t="shared" si="29"/>
        <v>56</v>
      </c>
      <c r="AE212" t="s">
        <v>273</v>
      </c>
      <c r="AG212" t="s">
        <v>275</v>
      </c>
      <c r="AI212" t="s">
        <v>345</v>
      </c>
      <c r="AK212">
        <v>2</v>
      </c>
      <c r="AM212">
        <f t="shared" si="30"/>
        <v>28</v>
      </c>
      <c r="AO212" t="s">
        <v>1105</v>
      </c>
      <c r="AP212" t="s">
        <v>282</v>
      </c>
      <c r="AQ212" t="s">
        <v>283</v>
      </c>
      <c r="AS212" t="s">
        <v>1094</v>
      </c>
      <c r="AT212" t="s">
        <v>191</v>
      </c>
      <c r="AU212" t="s">
        <v>191</v>
      </c>
      <c r="AV212" s="30">
        <v>0</v>
      </c>
      <c r="AW212" t="s">
        <v>287</v>
      </c>
      <c r="AX212" t="s">
        <v>191</v>
      </c>
      <c r="AZ212" t="s">
        <v>829</v>
      </c>
      <c r="BA212">
        <v>0</v>
      </c>
      <c r="BB212" t="s">
        <v>290</v>
      </c>
      <c r="BC212" t="s">
        <v>261</v>
      </c>
      <c r="BE212" t="s">
        <v>559</v>
      </c>
      <c r="BF212" t="s">
        <v>291</v>
      </c>
      <c r="BG212" t="s">
        <v>297</v>
      </c>
      <c r="BH212" t="s">
        <v>191</v>
      </c>
      <c r="BI212">
        <v>1</v>
      </c>
      <c r="BJ212" t="s">
        <v>370</v>
      </c>
      <c r="BK212" t="s">
        <v>878</v>
      </c>
      <c r="BL212" t="s">
        <v>319</v>
      </c>
      <c r="BM212" t="s">
        <v>876</v>
      </c>
      <c r="BN212" t="str">
        <f t="shared" si="25"/>
        <v>CUMS_Classical</v>
      </c>
      <c r="BO212" t="s">
        <v>268</v>
      </c>
      <c r="BQ212">
        <v>11</v>
      </c>
      <c r="BR212">
        <v>11</v>
      </c>
      <c r="BS212" s="35">
        <v>128.41726618704999</v>
      </c>
      <c r="BT212" s="35">
        <v>16.187050359712199</v>
      </c>
      <c r="BU212" s="35">
        <v>53.6863725057528</v>
      </c>
      <c r="BV212" s="35"/>
      <c r="BW212" s="35">
        <v>55.755395683453301</v>
      </c>
      <c r="BX212" s="35">
        <v>12.9496402877698</v>
      </c>
      <c r="BY212" s="35">
        <v>42.949098004602298</v>
      </c>
      <c r="CB212" t="s">
        <v>268</v>
      </c>
      <c r="CD212" t="s">
        <v>268</v>
      </c>
      <c r="CE212" t="s">
        <v>267</v>
      </c>
      <c r="CF212" t="s">
        <v>309</v>
      </c>
      <c r="CG212" t="s">
        <v>268</v>
      </c>
      <c r="CI212" t="s">
        <v>268</v>
      </c>
      <c r="CK212" s="30">
        <f t="shared" si="27"/>
        <v>2</v>
      </c>
      <c r="CL212">
        <f t="shared" si="28"/>
        <v>3</v>
      </c>
    </row>
    <row r="213" spans="1:90" hidden="1" x14ac:dyDescent="0.35">
      <c r="A213" t="s">
        <v>887</v>
      </c>
      <c r="B213" t="s">
        <v>864</v>
      </c>
      <c r="C213" t="s">
        <v>865</v>
      </c>
      <c r="D213" t="s">
        <v>866</v>
      </c>
      <c r="E213" t="s">
        <v>867</v>
      </c>
      <c r="F213">
        <v>2024</v>
      </c>
      <c r="G213" t="s">
        <v>453</v>
      </c>
      <c r="I213" t="s">
        <v>331</v>
      </c>
      <c r="K213" t="s">
        <v>180</v>
      </c>
      <c r="L213" t="s">
        <v>181</v>
      </c>
      <c r="M213" t="s">
        <v>868</v>
      </c>
      <c r="N213" t="s">
        <v>179</v>
      </c>
      <c r="O213" t="s">
        <v>187</v>
      </c>
      <c r="P213" t="s">
        <v>869</v>
      </c>
      <c r="Q213" t="s">
        <v>187</v>
      </c>
      <c r="R213" t="s">
        <v>870</v>
      </c>
      <c r="S213" t="s">
        <v>204</v>
      </c>
      <c r="U213" t="s">
        <v>1117</v>
      </c>
      <c r="V213" t="s">
        <v>267</v>
      </c>
      <c r="W213" t="s">
        <v>317</v>
      </c>
      <c r="X213" t="s">
        <v>270</v>
      </c>
      <c r="Y213" t="s">
        <v>227</v>
      </c>
      <c r="AA213" t="s">
        <v>187</v>
      </c>
      <c r="AC213">
        <f t="shared" si="29"/>
        <v>56</v>
      </c>
      <c r="AE213" t="s">
        <v>273</v>
      </c>
      <c r="AG213" t="s">
        <v>275</v>
      </c>
      <c r="AI213" t="s">
        <v>345</v>
      </c>
      <c r="AK213">
        <v>2</v>
      </c>
      <c r="AM213">
        <f t="shared" si="30"/>
        <v>28</v>
      </c>
      <c r="AO213" t="s">
        <v>1105</v>
      </c>
      <c r="AP213" t="s">
        <v>282</v>
      </c>
      <c r="AQ213" t="s">
        <v>872</v>
      </c>
      <c r="AS213" t="s">
        <v>1094</v>
      </c>
      <c r="AT213" t="s">
        <v>191</v>
      </c>
      <c r="AU213" t="s">
        <v>191</v>
      </c>
      <c r="AV213" s="30">
        <v>0</v>
      </c>
      <c r="AW213" t="s">
        <v>287</v>
      </c>
      <c r="AX213" t="s">
        <v>191</v>
      </c>
      <c r="AZ213" t="s">
        <v>829</v>
      </c>
      <c r="BA213">
        <v>0</v>
      </c>
      <c r="BB213" t="s">
        <v>290</v>
      </c>
      <c r="BC213" t="s">
        <v>261</v>
      </c>
      <c r="BE213" t="s">
        <v>559</v>
      </c>
      <c r="BF213" t="s">
        <v>291</v>
      </c>
      <c r="BG213" t="s">
        <v>297</v>
      </c>
      <c r="BH213" t="s">
        <v>191</v>
      </c>
      <c r="BI213">
        <v>1</v>
      </c>
      <c r="BJ213" t="s">
        <v>370</v>
      </c>
      <c r="BK213" t="s">
        <v>878</v>
      </c>
      <c r="BL213" t="s">
        <v>319</v>
      </c>
      <c r="BM213" t="s">
        <v>872</v>
      </c>
      <c r="BN213" t="str">
        <f t="shared" si="25"/>
        <v>CUMS_Atonal</v>
      </c>
      <c r="BO213" t="s">
        <v>268</v>
      </c>
      <c r="BQ213">
        <v>11</v>
      </c>
      <c r="BR213">
        <v>11</v>
      </c>
      <c r="BS213" s="35">
        <v>128.41726618704999</v>
      </c>
      <c r="BT213" s="35">
        <v>16.187050359712199</v>
      </c>
      <c r="BU213" s="35">
        <v>53.6863725057528</v>
      </c>
      <c r="BV213" s="35"/>
      <c r="BW213" s="35">
        <v>93.165467625899296</v>
      </c>
      <c r="BX213" s="35">
        <v>11.151079136690701</v>
      </c>
      <c r="BY213" s="35">
        <v>36.983945503963199</v>
      </c>
      <c r="CB213" t="s">
        <v>268</v>
      </c>
      <c r="CD213" t="s">
        <v>268</v>
      </c>
      <c r="CE213" t="s">
        <v>267</v>
      </c>
      <c r="CF213" t="s">
        <v>309</v>
      </c>
      <c r="CG213" t="s">
        <v>268</v>
      </c>
      <c r="CI213" t="s">
        <v>268</v>
      </c>
      <c r="CK213" s="30">
        <f t="shared" si="27"/>
        <v>2</v>
      </c>
      <c r="CL213">
        <f t="shared" si="28"/>
        <v>3</v>
      </c>
    </row>
    <row r="214" spans="1:90" hidden="1" x14ac:dyDescent="0.35">
      <c r="A214" t="s">
        <v>888</v>
      </c>
      <c r="B214" t="s">
        <v>864</v>
      </c>
      <c r="C214" t="s">
        <v>865</v>
      </c>
      <c r="D214" t="s">
        <v>866</v>
      </c>
      <c r="E214" t="s">
        <v>867</v>
      </c>
      <c r="F214">
        <v>2024</v>
      </c>
      <c r="G214" t="s">
        <v>454</v>
      </c>
      <c r="I214" t="s">
        <v>331</v>
      </c>
      <c r="K214" t="s">
        <v>180</v>
      </c>
      <c r="L214" t="s">
        <v>181</v>
      </c>
      <c r="M214" t="s">
        <v>868</v>
      </c>
      <c r="N214" t="s">
        <v>179</v>
      </c>
      <c r="O214" t="s">
        <v>187</v>
      </c>
      <c r="P214" t="s">
        <v>869</v>
      </c>
      <c r="Q214" t="s">
        <v>187</v>
      </c>
      <c r="R214" t="s">
        <v>870</v>
      </c>
      <c r="S214" t="s">
        <v>204</v>
      </c>
      <c r="U214" t="s">
        <v>1117</v>
      </c>
      <c r="V214" t="s">
        <v>267</v>
      </c>
      <c r="W214" t="s">
        <v>317</v>
      </c>
      <c r="X214" t="s">
        <v>270</v>
      </c>
      <c r="Y214" t="s">
        <v>227</v>
      </c>
      <c r="AA214" t="s">
        <v>187</v>
      </c>
      <c r="AC214">
        <f t="shared" si="29"/>
        <v>56</v>
      </c>
      <c r="AE214" t="s">
        <v>273</v>
      </c>
      <c r="AG214" t="s">
        <v>275</v>
      </c>
      <c r="AI214" t="s">
        <v>345</v>
      </c>
      <c r="AK214">
        <v>2</v>
      </c>
      <c r="AM214">
        <f t="shared" si="30"/>
        <v>28</v>
      </c>
      <c r="AO214" t="s">
        <v>1105</v>
      </c>
      <c r="AP214" t="s">
        <v>282</v>
      </c>
      <c r="AQ214" t="s">
        <v>873</v>
      </c>
      <c r="AS214" t="s">
        <v>1096</v>
      </c>
      <c r="AT214" t="s">
        <v>191</v>
      </c>
      <c r="AU214" t="s">
        <v>191</v>
      </c>
      <c r="AV214" s="30">
        <v>0</v>
      </c>
      <c r="AW214" t="s">
        <v>287</v>
      </c>
      <c r="AX214" t="s">
        <v>191</v>
      </c>
      <c r="AZ214" t="s">
        <v>829</v>
      </c>
      <c r="BA214">
        <v>0</v>
      </c>
      <c r="BB214" t="s">
        <v>290</v>
      </c>
      <c r="BC214" t="s">
        <v>261</v>
      </c>
      <c r="BE214" t="s">
        <v>559</v>
      </c>
      <c r="BF214" t="s">
        <v>291</v>
      </c>
      <c r="BG214" t="s">
        <v>297</v>
      </c>
      <c r="BH214" t="s">
        <v>191</v>
      </c>
      <c r="BI214">
        <v>1</v>
      </c>
      <c r="BJ214" t="s">
        <v>370</v>
      </c>
      <c r="BK214" t="s">
        <v>878</v>
      </c>
      <c r="BL214" t="s">
        <v>319</v>
      </c>
      <c r="BM214" t="s">
        <v>877</v>
      </c>
      <c r="BN214" t="str">
        <f t="shared" si="25"/>
        <v>CUMS_ROCK</v>
      </c>
      <c r="BO214" t="s">
        <v>268</v>
      </c>
      <c r="BQ214">
        <v>11</v>
      </c>
      <c r="BR214">
        <v>11</v>
      </c>
      <c r="BS214" s="35">
        <v>128.41726618704999</v>
      </c>
      <c r="BT214" s="35">
        <v>16.187050359712199</v>
      </c>
      <c r="BU214" s="35">
        <v>53.6863725057528</v>
      </c>
      <c r="BV214" s="35"/>
      <c r="BW214" s="35">
        <v>111.510791366907</v>
      </c>
      <c r="BX214" s="35">
        <v>16.906474820143899</v>
      </c>
      <c r="BY214" s="35">
        <v>56.072433506008501</v>
      </c>
      <c r="CB214" t="s">
        <v>268</v>
      </c>
      <c r="CD214" t="s">
        <v>268</v>
      </c>
      <c r="CE214" t="s">
        <v>267</v>
      </c>
      <c r="CF214" t="s">
        <v>309</v>
      </c>
      <c r="CG214" t="s">
        <v>268</v>
      </c>
      <c r="CI214" t="s">
        <v>268</v>
      </c>
      <c r="CK214" s="30">
        <f t="shared" si="27"/>
        <v>2</v>
      </c>
      <c r="CL214">
        <f t="shared" si="28"/>
        <v>3</v>
      </c>
    </row>
    <row r="215" spans="1:90" hidden="1" x14ac:dyDescent="0.35">
      <c r="A215" t="s">
        <v>889</v>
      </c>
      <c r="B215" t="s">
        <v>864</v>
      </c>
      <c r="C215" t="s">
        <v>865</v>
      </c>
      <c r="D215" t="s">
        <v>866</v>
      </c>
      <c r="E215" t="s">
        <v>867</v>
      </c>
      <c r="F215">
        <v>2024</v>
      </c>
      <c r="G215" t="s">
        <v>175</v>
      </c>
      <c r="I215" t="s">
        <v>332</v>
      </c>
      <c r="K215" t="s">
        <v>180</v>
      </c>
      <c r="L215" t="s">
        <v>181</v>
      </c>
      <c r="M215" t="s">
        <v>868</v>
      </c>
      <c r="N215" t="s">
        <v>179</v>
      </c>
      <c r="O215" t="s">
        <v>187</v>
      </c>
      <c r="P215" t="s">
        <v>869</v>
      </c>
      <c r="Q215" t="s">
        <v>187</v>
      </c>
      <c r="R215" t="s">
        <v>870</v>
      </c>
      <c r="S215" t="s">
        <v>204</v>
      </c>
      <c r="U215" t="s">
        <v>1117</v>
      </c>
      <c r="V215" t="s">
        <v>267</v>
      </c>
      <c r="W215" t="s">
        <v>317</v>
      </c>
      <c r="X215" t="s">
        <v>270</v>
      </c>
      <c r="Y215" t="s">
        <v>227</v>
      </c>
      <c r="AA215" t="s">
        <v>187</v>
      </c>
      <c r="AC215">
        <f t="shared" si="29"/>
        <v>56</v>
      </c>
      <c r="AE215" t="s">
        <v>273</v>
      </c>
      <c r="AG215" t="s">
        <v>275</v>
      </c>
      <c r="AI215" t="s">
        <v>345</v>
      </c>
      <c r="AK215">
        <v>2</v>
      </c>
      <c r="AM215">
        <f t="shared" si="30"/>
        <v>28</v>
      </c>
      <c r="AO215" t="s">
        <v>1105</v>
      </c>
      <c r="AP215" t="s">
        <v>282</v>
      </c>
      <c r="AQ215" t="s">
        <v>871</v>
      </c>
      <c r="AS215" t="s">
        <v>190</v>
      </c>
      <c r="AT215" t="s">
        <v>191</v>
      </c>
      <c r="AU215" t="s">
        <v>191</v>
      </c>
      <c r="AV215" s="30">
        <v>0</v>
      </c>
      <c r="AW215" t="s">
        <v>287</v>
      </c>
      <c r="AX215" t="s">
        <v>191</v>
      </c>
      <c r="AZ215" t="s">
        <v>829</v>
      </c>
      <c r="BA215">
        <v>0</v>
      </c>
      <c r="BB215" t="s">
        <v>289</v>
      </c>
      <c r="BC215" t="s">
        <v>243</v>
      </c>
      <c r="BE215" t="s">
        <v>794</v>
      </c>
      <c r="BF215" t="s">
        <v>294</v>
      </c>
      <c r="BG215" t="s">
        <v>300</v>
      </c>
      <c r="BH215" t="s">
        <v>191</v>
      </c>
      <c r="BI215">
        <v>1</v>
      </c>
      <c r="BJ215" t="s">
        <v>370</v>
      </c>
      <c r="BK215" t="s">
        <v>879</v>
      </c>
      <c r="BL215" t="s">
        <v>319</v>
      </c>
      <c r="BM215" t="s">
        <v>875</v>
      </c>
      <c r="BN215" t="str">
        <f t="shared" si="25"/>
        <v>CUMS_light</v>
      </c>
      <c r="BO215" t="s">
        <v>267</v>
      </c>
      <c r="BQ215">
        <v>11</v>
      </c>
      <c r="BR215">
        <v>11</v>
      </c>
      <c r="BS215" s="35">
        <v>44.667535853976503</v>
      </c>
      <c r="BT215" s="35">
        <v>7.1968709256844896</v>
      </c>
      <c r="BU215" s="35">
        <v>23.869320525113199</v>
      </c>
      <c r="BV215" s="35"/>
      <c r="BW215" s="35">
        <v>38.487614080834398</v>
      </c>
      <c r="BX215" s="35">
        <v>6.2581486310299903</v>
      </c>
      <c r="BY215" s="35">
        <v>20.755930891402802</v>
      </c>
      <c r="CB215" t="s">
        <v>268</v>
      </c>
      <c r="CD215" t="s">
        <v>268</v>
      </c>
      <c r="CE215" t="s">
        <v>267</v>
      </c>
      <c r="CF215" t="s">
        <v>309</v>
      </c>
      <c r="CG215" t="s">
        <v>268</v>
      </c>
      <c r="CI215" t="s">
        <v>268</v>
      </c>
      <c r="CK215" s="30">
        <f t="shared" si="27"/>
        <v>2</v>
      </c>
      <c r="CL215">
        <f t="shared" si="28"/>
        <v>3</v>
      </c>
    </row>
    <row r="216" spans="1:90" hidden="1" x14ac:dyDescent="0.35">
      <c r="A216" t="s">
        <v>890</v>
      </c>
      <c r="B216" t="s">
        <v>864</v>
      </c>
      <c r="C216" t="s">
        <v>865</v>
      </c>
      <c r="D216" t="s">
        <v>866</v>
      </c>
      <c r="E216" t="s">
        <v>867</v>
      </c>
      <c r="F216">
        <v>2024</v>
      </c>
      <c r="G216" t="s">
        <v>344</v>
      </c>
      <c r="I216" t="s">
        <v>332</v>
      </c>
      <c r="K216" t="s">
        <v>180</v>
      </c>
      <c r="L216" t="s">
        <v>181</v>
      </c>
      <c r="M216" t="s">
        <v>868</v>
      </c>
      <c r="N216" t="s">
        <v>179</v>
      </c>
      <c r="O216" t="s">
        <v>187</v>
      </c>
      <c r="P216" t="s">
        <v>869</v>
      </c>
      <c r="Q216" t="s">
        <v>187</v>
      </c>
      <c r="R216" t="s">
        <v>870</v>
      </c>
      <c r="S216" t="s">
        <v>204</v>
      </c>
      <c r="U216" t="s">
        <v>1117</v>
      </c>
      <c r="V216" t="s">
        <v>267</v>
      </c>
      <c r="W216" t="s">
        <v>317</v>
      </c>
      <c r="X216" t="s">
        <v>270</v>
      </c>
      <c r="Y216" t="s">
        <v>227</v>
      </c>
      <c r="AA216" t="s">
        <v>187</v>
      </c>
      <c r="AC216">
        <f t="shared" si="29"/>
        <v>56</v>
      </c>
      <c r="AE216" t="s">
        <v>273</v>
      </c>
      <c r="AG216" t="s">
        <v>275</v>
      </c>
      <c r="AI216" t="s">
        <v>345</v>
      </c>
      <c r="AK216">
        <v>2</v>
      </c>
      <c r="AM216">
        <f t="shared" si="30"/>
        <v>28</v>
      </c>
      <c r="AO216" t="s">
        <v>1105</v>
      </c>
      <c r="AP216" t="s">
        <v>282</v>
      </c>
      <c r="AQ216" t="s">
        <v>283</v>
      </c>
      <c r="AS216" t="s">
        <v>1094</v>
      </c>
      <c r="AT216" t="s">
        <v>191</v>
      </c>
      <c r="AU216" t="s">
        <v>191</v>
      </c>
      <c r="AV216" s="30">
        <v>0</v>
      </c>
      <c r="AW216" t="s">
        <v>287</v>
      </c>
      <c r="AX216" t="s">
        <v>191</v>
      </c>
      <c r="AZ216" t="s">
        <v>829</v>
      </c>
      <c r="BA216">
        <v>0</v>
      </c>
      <c r="BB216" t="s">
        <v>289</v>
      </c>
      <c r="BC216" t="s">
        <v>243</v>
      </c>
      <c r="BE216" t="s">
        <v>794</v>
      </c>
      <c r="BF216" t="s">
        <v>294</v>
      </c>
      <c r="BG216" t="s">
        <v>300</v>
      </c>
      <c r="BH216" t="s">
        <v>191</v>
      </c>
      <c r="BI216">
        <v>1</v>
      </c>
      <c r="BJ216" t="s">
        <v>370</v>
      </c>
      <c r="BK216" t="s">
        <v>879</v>
      </c>
      <c r="BL216" t="s">
        <v>319</v>
      </c>
      <c r="BM216" t="s">
        <v>876</v>
      </c>
      <c r="BN216" t="str">
        <f t="shared" si="25"/>
        <v>CUMS_Classical</v>
      </c>
      <c r="BO216" t="s">
        <v>267</v>
      </c>
      <c r="BQ216">
        <v>11</v>
      </c>
      <c r="BR216">
        <v>11</v>
      </c>
      <c r="BS216" s="35">
        <v>44.667535853976503</v>
      </c>
      <c r="BT216" s="35">
        <v>7.1968709256844896</v>
      </c>
      <c r="BU216" s="35">
        <v>23.869320525113199</v>
      </c>
      <c r="BV216" s="35"/>
      <c r="BW216" s="35">
        <v>40.756192959582798</v>
      </c>
      <c r="BX216" s="35">
        <v>5.8670143415906102</v>
      </c>
      <c r="BY216" s="35">
        <v>19.458685210690099</v>
      </c>
      <c r="CB216" t="s">
        <v>268</v>
      </c>
      <c r="CD216" t="s">
        <v>268</v>
      </c>
      <c r="CE216" t="s">
        <v>267</v>
      </c>
      <c r="CF216" t="s">
        <v>309</v>
      </c>
      <c r="CG216" t="s">
        <v>268</v>
      </c>
      <c r="CI216" t="s">
        <v>268</v>
      </c>
      <c r="CK216" s="30">
        <f t="shared" si="27"/>
        <v>2</v>
      </c>
      <c r="CL216">
        <f t="shared" si="28"/>
        <v>3</v>
      </c>
    </row>
    <row r="217" spans="1:90" hidden="1" x14ac:dyDescent="0.35">
      <c r="A217" t="s">
        <v>891</v>
      </c>
      <c r="B217" t="s">
        <v>864</v>
      </c>
      <c r="C217" t="s">
        <v>865</v>
      </c>
      <c r="D217" t="s">
        <v>866</v>
      </c>
      <c r="E217" t="s">
        <v>867</v>
      </c>
      <c r="F217">
        <v>2024</v>
      </c>
      <c r="G217" t="s">
        <v>453</v>
      </c>
      <c r="I217" t="s">
        <v>332</v>
      </c>
      <c r="K217" t="s">
        <v>180</v>
      </c>
      <c r="L217" t="s">
        <v>181</v>
      </c>
      <c r="M217" t="s">
        <v>868</v>
      </c>
      <c r="N217" t="s">
        <v>179</v>
      </c>
      <c r="O217" t="s">
        <v>187</v>
      </c>
      <c r="P217" t="s">
        <v>869</v>
      </c>
      <c r="Q217" t="s">
        <v>187</v>
      </c>
      <c r="R217" t="s">
        <v>870</v>
      </c>
      <c r="S217" t="s">
        <v>204</v>
      </c>
      <c r="U217" t="s">
        <v>1117</v>
      </c>
      <c r="V217" t="s">
        <v>267</v>
      </c>
      <c r="W217" t="s">
        <v>317</v>
      </c>
      <c r="X217" t="s">
        <v>270</v>
      </c>
      <c r="Y217" t="s">
        <v>227</v>
      </c>
      <c r="AA217" t="s">
        <v>187</v>
      </c>
      <c r="AC217">
        <f t="shared" si="29"/>
        <v>56</v>
      </c>
      <c r="AE217" t="s">
        <v>273</v>
      </c>
      <c r="AG217" t="s">
        <v>275</v>
      </c>
      <c r="AI217" t="s">
        <v>345</v>
      </c>
      <c r="AK217">
        <v>2</v>
      </c>
      <c r="AM217">
        <f t="shared" si="30"/>
        <v>28</v>
      </c>
      <c r="AO217" t="s">
        <v>1105</v>
      </c>
      <c r="AP217" t="s">
        <v>282</v>
      </c>
      <c r="AQ217" t="s">
        <v>872</v>
      </c>
      <c r="AS217" t="s">
        <v>1094</v>
      </c>
      <c r="AT217" t="s">
        <v>191</v>
      </c>
      <c r="AU217" t="s">
        <v>191</v>
      </c>
      <c r="AV217" s="30">
        <v>0</v>
      </c>
      <c r="AW217" t="s">
        <v>287</v>
      </c>
      <c r="AX217" t="s">
        <v>191</v>
      </c>
      <c r="AZ217" t="s">
        <v>829</v>
      </c>
      <c r="BA217">
        <v>0</v>
      </c>
      <c r="BB217" t="s">
        <v>289</v>
      </c>
      <c r="BC217" t="s">
        <v>243</v>
      </c>
      <c r="BE217" t="s">
        <v>794</v>
      </c>
      <c r="BF217" t="s">
        <v>294</v>
      </c>
      <c r="BG217" t="s">
        <v>300</v>
      </c>
      <c r="BH217" t="s">
        <v>191</v>
      </c>
      <c r="BI217">
        <v>1</v>
      </c>
      <c r="BJ217" t="s">
        <v>370</v>
      </c>
      <c r="BK217" t="s">
        <v>879</v>
      </c>
      <c r="BL217" t="s">
        <v>319</v>
      </c>
      <c r="BM217" t="s">
        <v>872</v>
      </c>
      <c r="BN217" t="str">
        <f t="shared" si="25"/>
        <v>CUMS_Atonal</v>
      </c>
      <c r="BO217" t="s">
        <v>267</v>
      </c>
      <c r="BQ217">
        <v>11</v>
      </c>
      <c r="BR217">
        <v>11</v>
      </c>
      <c r="BS217" s="35">
        <v>44.667535853976503</v>
      </c>
      <c r="BT217" s="35">
        <v>7.1968709256844896</v>
      </c>
      <c r="BU217" s="35">
        <v>23.869320525113199</v>
      </c>
      <c r="BV217" s="35"/>
      <c r="BW217" s="35">
        <v>47.405475880052101</v>
      </c>
      <c r="BX217" s="35">
        <v>7.2750977835723596</v>
      </c>
      <c r="BY217" s="35">
        <v>24.128769661255699</v>
      </c>
      <c r="CB217" t="s">
        <v>268</v>
      </c>
      <c r="CD217" t="s">
        <v>268</v>
      </c>
      <c r="CE217" t="s">
        <v>267</v>
      </c>
      <c r="CF217" t="s">
        <v>309</v>
      </c>
      <c r="CG217" t="s">
        <v>268</v>
      </c>
      <c r="CI217" t="s">
        <v>268</v>
      </c>
      <c r="CK217" s="30">
        <f t="shared" si="27"/>
        <v>2</v>
      </c>
      <c r="CL217">
        <f t="shared" si="28"/>
        <v>3</v>
      </c>
    </row>
    <row r="218" spans="1:90" hidden="1" x14ac:dyDescent="0.35">
      <c r="A218" t="s">
        <v>892</v>
      </c>
      <c r="B218" t="s">
        <v>864</v>
      </c>
      <c r="C218" t="s">
        <v>865</v>
      </c>
      <c r="D218" t="s">
        <v>866</v>
      </c>
      <c r="E218" t="s">
        <v>867</v>
      </c>
      <c r="F218">
        <v>2024</v>
      </c>
      <c r="G218" t="s">
        <v>454</v>
      </c>
      <c r="I218" t="s">
        <v>332</v>
      </c>
      <c r="K218" t="s">
        <v>180</v>
      </c>
      <c r="L218" t="s">
        <v>181</v>
      </c>
      <c r="M218" t="s">
        <v>868</v>
      </c>
      <c r="N218" t="s">
        <v>179</v>
      </c>
      <c r="O218" t="s">
        <v>187</v>
      </c>
      <c r="P218" t="s">
        <v>869</v>
      </c>
      <c r="Q218" t="s">
        <v>187</v>
      </c>
      <c r="R218" t="s">
        <v>870</v>
      </c>
      <c r="S218" t="s">
        <v>204</v>
      </c>
      <c r="U218" t="s">
        <v>1117</v>
      </c>
      <c r="V218" t="s">
        <v>267</v>
      </c>
      <c r="W218" t="s">
        <v>317</v>
      </c>
      <c r="X218" t="s">
        <v>270</v>
      </c>
      <c r="Y218" t="s">
        <v>227</v>
      </c>
      <c r="AA218" t="s">
        <v>187</v>
      </c>
      <c r="AC218">
        <f t="shared" si="29"/>
        <v>56</v>
      </c>
      <c r="AE218" t="s">
        <v>273</v>
      </c>
      <c r="AG218" t="s">
        <v>275</v>
      </c>
      <c r="AI218" t="s">
        <v>345</v>
      </c>
      <c r="AK218">
        <v>2</v>
      </c>
      <c r="AM218">
        <f t="shared" si="30"/>
        <v>28</v>
      </c>
      <c r="AO218" t="s">
        <v>1105</v>
      </c>
      <c r="AP218" t="s">
        <v>282</v>
      </c>
      <c r="AQ218" t="s">
        <v>873</v>
      </c>
      <c r="AS218" t="s">
        <v>1096</v>
      </c>
      <c r="AT218" t="s">
        <v>191</v>
      </c>
      <c r="AU218" t="s">
        <v>191</v>
      </c>
      <c r="AV218" s="30">
        <v>0</v>
      </c>
      <c r="AW218" t="s">
        <v>287</v>
      </c>
      <c r="AX218" t="s">
        <v>191</v>
      </c>
      <c r="AZ218" t="s">
        <v>829</v>
      </c>
      <c r="BA218">
        <v>0</v>
      </c>
      <c r="BB218" t="s">
        <v>289</v>
      </c>
      <c r="BC218" t="s">
        <v>243</v>
      </c>
      <c r="BE218" t="s">
        <v>794</v>
      </c>
      <c r="BF218" t="s">
        <v>294</v>
      </c>
      <c r="BG218" t="s">
        <v>300</v>
      </c>
      <c r="BH218" t="s">
        <v>191</v>
      </c>
      <c r="BI218">
        <v>1</v>
      </c>
      <c r="BJ218" t="s">
        <v>370</v>
      </c>
      <c r="BK218" t="s">
        <v>879</v>
      </c>
      <c r="BL218" t="s">
        <v>319</v>
      </c>
      <c r="BM218" t="s">
        <v>877</v>
      </c>
      <c r="BN218" t="str">
        <f t="shared" si="25"/>
        <v>CUMS_ROCK</v>
      </c>
      <c r="BO218" t="s">
        <v>267</v>
      </c>
      <c r="BQ218">
        <v>11</v>
      </c>
      <c r="BR218">
        <v>11</v>
      </c>
      <c r="BS218" s="35">
        <v>44.667535853976503</v>
      </c>
      <c r="BT218" s="35">
        <v>7.1968709256844896</v>
      </c>
      <c r="BU218" s="35">
        <v>23.869320525113199</v>
      </c>
      <c r="BV218" s="35"/>
      <c r="BW218" s="35">
        <v>36.531942633637499</v>
      </c>
      <c r="BX218" s="35">
        <v>7.3533246414602296</v>
      </c>
      <c r="BY218" s="35">
        <v>24.388218797398199</v>
      </c>
      <c r="CB218" t="s">
        <v>268</v>
      </c>
      <c r="CD218" t="s">
        <v>268</v>
      </c>
      <c r="CE218" t="s">
        <v>267</v>
      </c>
      <c r="CF218" t="s">
        <v>309</v>
      </c>
      <c r="CG218" t="s">
        <v>268</v>
      </c>
      <c r="CI218" t="s">
        <v>268</v>
      </c>
      <c r="CK218" s="30">
        <f t="shared" si="27"/>
        <v>2</v>
      </c>
      <c r="CL218">
        <f t="shared" si="28"/>
        <v>3</v>
      </c>
    </row>
    <row r="219" spans="1:90" hidden="1" x14ac:dyDescent="0.35">
      <c r="A219" t="s">
        <v>893</v>
      </c>
      <c r="B219" t="s">
        <v>864</v>
      </c>
      <c r="C219" t="s">
        <v>865</v>
      </c>
      <c r="D219" t="s">
        <v>866</v>
      </c>
      <c r="E219" t="s">
        <v>867</v>
      </c>
      <c r="F219">
        <v>2024</v>
      </c>
      <c r="G219" t="s">
        <v>175</v>
      </c>
      <c r="I219" t="s">
        <v>333</v>
      </c>
      <c r="K219" t="s">
        <v>180</v>
      </c>
      <c r="L219" t="s">
        <v>181</v>
      </c>
      <c r="M219" t="s">
        <v>868</v>
      </c>
      <c r="N219" t="s">
        <v>179</v>
      </c>
      <c r="O219" t="s">
        <v>187</v>
      </c>
      <c r="P219" t="s">
        <v>869</v>
      </c>
      <c r="Q219" t="s">
        <v>187</v>
      </c>
      <c r="R219" t="s">
        <v>870</v>
      </c>
      <c r="S219" t="s">
        <v>204</v>
      </c>
      <c r="U219" t="s">
        <v>1117</v>
      </c>
      <c r="V219" t="s">
        <v>267</v>
      </c>
      <c r="W219" t="s">
        <v>317</v>
      </c>
      <c r="X219" t="s">
        <v>270</v>
      </c>
      <c r="Y219" t="s">
        <v>227</v>
      </c>
      <c r="AA219" t="s">
        <v>187</v>
      </c>
      <c r="AC219">
        <f t="shared" si="29"/>
        <v>56</v>
      </c>
      <c r="AE219" t="s">
        <v>273</v>
      </c>
      <c r="AG219" t="s">
        <v>275</v>
      </c>
      <c r="AI219" t="s">
        <v>345</v>
      </c>
      <c r="AK219">
        <v>2</v>
      </c>
      <c r="AM219">
        <f t="shared" si="30"/>
        <v>28</v>
      </c>
      <c r="AO219" t="s">
        <v>1105</v>
      </c>
      <c r="AP219" t="s">
        <v>282</v>
      </c>
      <c r="AQ219" t="s">
        <v>871</v>
      </c>
      <c r="AS219" t="s">
        <v>190</v>
      </c>
      <c r="AT219" t="s">
        <v>191</v>
      </c>
      <c r="AU219" t="s">
        <v>191</v>
      </c>
      <c r="AV219" s="30">
        <v>0</v>
      </c>
      <c r="AW219" t="s">
        <v>287</v>
      </c>
      <c r="AX219" t="s">
        <v>191</v>
      </c>
      <c r="AZ219" t="s">
        <v>829</v>
      </c>
      <c r="BA219">
        <v>0</v>
      </c>
      <c r="BB219" t="s">
        <v>289</v>
      </c>
      <c r="BC219" t="s">
        <v>243</v>
      </c>
      <c r="BE219" t="s">
        <v>420</v>
      </c>
      <c r="BF219" t="s">
        <v>294</v>
      </c>
      <c r="BG219" t="s">
        <v>300</v>
      </c>
      <c r="BH219" t="s">
        <v>191</v>
      </c>
      <c r="BI219">
        <v>1</v>
      </c>
      <c r="BJ219" t="s">
        <v>370</v>
      </c>
      <c r="BK219" t="s">
        <v>880</v>
      </c>
      <c r="BL219" t="s">
        <v>319</v>
      </c>
      <c r="BM219" t="s">
        <v>875</v>
      </c>
      <c r="BN219" t="str">
        <f t="shared" si="25"/>
        <v>CUMS_light</v>
      </c>
      <c r="BO219" t="s">
        <v>267</v>
      </c>
      <c r="BQ219">
        <v>11</v>
      </c>
      <c r="BR219">
        <v>11</v>
      </c>
      <c r="BS219" s="35">
        <v>10.079575596817</v>
      </c>
      <c r="BT219" s="35">
        <v>2.57294429708223</v>
      </c>
      <c r="BU219" s="35">
        <v>8.5334908399064595</v>
      </c>
      <c r="BV219" s="35"/>
      <c r="BW219" s="35">
        <v>13.7931034482759</v>
      </c>
      <c r="BX219" s="35">
        <v>2.3076923076922999</v>
      </c>
      <c r="BY219" s="35">
        <v>7.6537495162047504</v>
      </c>
      <c r="CB219" t="s">
        <v>268</v>
      </c>
      <c r="CD219" t="s">
        <v>268</v>
      </c>
      <c r="CE219" t="s">
        <v>267</v>
      </c>
      <c r="CF219" t="s">
        <v>309</v>
      </c>
      <c r="CG219" t="s">
        <v>268</v>
      </c>
      <c r="CI219" t="s">
        <v>268</v>
      </c>
      <c r="CK219" s="30">
        <f t="shared" si="27"/>
        <v>2</v>
      </c>
      <c r="CL219">
        <f t="shared" si="28"/>
        <v>3</v>
      </c>
    </row>
    <row r="220" spans="1:90" hidden="1" x14ac:dyDescent="0.35">
      <c r="A220" t="s">
        <v>894</v>
      </c>
      <c r="B220" t="s">
        <v>864</v>
      </c>
      <c r="C220" t="s">
        <v>865</v>
      </c>
      <c r="D220" t="s">
        <v>866</v>
      </c>
      <c r="E220" t="s">
        <v>867</v>
      </c>
      <c r="F220">
        <v>2024</v>
      </c>
      <c r="G220" t="s">
        <v>344</v>
      </c>
      <c r="I220" t="s">
        <v>333</v>
      </c>
      <c r="K220" t="s">
        <v>180</v>
      </c>
      <c r="L220" t="s">
        <v>181</v>
      </c>
      <c r="M220" t="s">
        <v>868</v>
      </c>
      <c r="N220" t="s">
        <v>179</v>
      </c>
      <c r="O220" t="s">
        <v>187</v>
      </c>
      <c r="P220" t="s">
        <v>869</v>
      </c>
      <c r="Q220" t="s">
        <v>187</v>
      </c>
      <c r="R220" t="s">
        <v>870</v>
      </c>
      <c r="S220" t="s">
        <v>204</v>
      </c>
      <c r="U220" t="s">
        <v>1117</v>
      </c>
      <c r="V220" t="s">
        <v>267</v>
      </c>
      <c r="W220" t="s">
        <v>317</v>
      </c>
      <c r="X220" t="s">
        <v>270</v>
      </c>
      <c r="Y220" t="s">
        <v>227</v>
      </c>
      <c r="AA220" t="s">
        <v>187</v>
      </c>
      <c r="AC220">
        <f t="shared" si="29"/>
        <v>56</v>
      </c>
      <c r="AE220" t="s">
        <v>273</v>
      </c>
      <c r="AG220" t="s">
        <v>275</v>
      </c>
      <c r="AI220" t="s">
        <v>345</v>
      </c>
      <c r="AK220">
        <v>2</v>
      </c>
      <c r="AM220">
        <f t="shared" si="30"/>
        <v>28</v>
      </c>
      <c r="AO220" t="s">
        <v>1105</v>
      </c>
      <c r="AP220" t="s">
        <v>282</v>
      </c>
      <c r="AQ220" t="s">
        <v>283</v>
      </c>
      <c r="AS220" t="s">
        <v>1094</v>
      </c>
      <c r="AT220" t="s">
        <v>191</v>
      </c>
      <c r="AU220" t="s">
        <v>191</v>
      </c>
      <c r="AV220" s="30">
        <v>0</v>
      </c>
      <c r="AW220" t="s">
        <v>287</v>
      </c>
      <c r="AX220" t="s">
        <v>191</v>
      </c>
      <c r="AZ220" t="s">
        <v>829</v>
      </c>
      <c r="BA220">
        <v>0</v>
      </c>
      <c r="BB220" t="s">
        <v>289</v>
      </c>
      <c r="BC220" t="s">
        <v>243</v>
      </c>
      <c r="BE220" t="s">
        <v>420</v>
      </c>
      <c r="BF220" t="s">
        <v>294</v>
      </c>
      <c r="BG220" t="s">
        <v>300</v>
      </c>
      <c r="BH220" t="s">
        <v>191</v>
      </c>
      <c r="BI220">
        <v>1</v>
      </c>
      <c r="BJ220" t="s">
        <v>370</v>
      </c>
      <c r="BK220" t="s">
        <v>880</v>
      </c>
      <c r="BL220" t="s">
        <v>319</v>
      </c>
      <c r="BM220" t="s">
        <v>876</v>
      </c>
      <c r="BN220" t="str">
        <f t="shared" si="25"/>
        <v>CUMS_Classical</v>
      </c>
      <c r="BO220" t="s">
        <v>267</v>
      </c>
      <c r="BQ220">
        <v>11</v>
      </c>
      <c r="BR220">
        <v>11</v>
      </c>
      <c r="BS220" s="35">
        <v>10.079575596817</v>
      </c>
      <c r="BT220" s="35">
        <v>2.57294429708223</v>
      </c>
      <c r="BU220" s="35">
        <v>8.5334908399064595</v>
      </c>
      <c r="BV220" s="35"/>
      <c r="BW220" s="35">
        <v>13.5809018567639</v>
      </c>
      <c r="BX220" s="35">
        <v>1.56498673740053</v>
      </c>
      <c r="BY220" s="35">
        <v>5.1904738098400296</v>
      </c>
      <c r="CB220" t="s">
        <v>268</v>
      </c>
      <c r="CD220" t="s">
        <v>268</v>
      </c>
      <c r="CE220" t="s">
        <v>267</v>
      </c>
      <c r="CF220" t="s">
        <v>309</v>
      </c>
      <c r="CG220" t="s">
        <v>268</v>
      </c>
      <c r="CI220" t="s">
        <v>268</v>
      </c>
      <c r="CK220" s="30">
        <f t="shared" si="27"/>
        <v>2</v>
      </c>
      <c r="CL220">
        <f t="shared" si="28"/>
        <v>3</v>
      </c>
    </row>
    <row r="221" spans="1:90" hidden="1" x14ac:dyDescent="0.35">
      <c r="A221" t="s">
        <v>895</v>
      </c>
      <c r="B221" t="s">
        <v>864</v>
      </c>
      <c r="C221" t="s">
        <v>865</v>
      </c>
      <c r="D221" t="s">
        <v>866</v>
      </c>
      <c r="E221" t="s">
        <v>867</v>
      </c>
      <c r="F221">
        <v>2024</v>
      </c>
      <c r="G221" t="s">
        <v>453</v>
      </c>
      <c r="I221" t="s">
        <v>333</v>
      </c>
      <c r="K221" t="s">
        <v>180</v>
      </c>
      <c r="L221" t="s">
        <v>181</v>
      </c>
      <c r="M221" t="s">
        <v>868</v>
      </c>
      <c r="N221" t="s">
        <v>179</v>
      </c>
      <c r="O221" t="s">
        <v>187</v>
      </c>
      <c r="P221" t="s">
        <v>869</v>
      </c>
      <c r="Q221" t="s">
        <v>187</v>
      </c>
      <c r="R221" t="s">
        <v>870</v>
      </c>
      <c r="S221" t="s">
        <v>204</v>
      </c>
      <c r="U221" t="s">
        <v>1117</v>
      </c>
      <c r="V221" t="s">
        <v>267</v>
      </c>
      <c r="W221" t="s">
        <v>317</v>
      </c>
      <c r="X221" t="s">
        <v>270</v>
      </c>
      <c r="Y221" t="s">
        <v>227</v>
      </c>
      <c r="AA221" t="s">
        <v>187</v>
      </c>
      <c r="AC221">
        <f t="shared" si="29"/>
        <v>56</v>
      </c>
      <c r="AE221" t="s">
        <v>273</v>
      </c>
      <c r="AG221" t="s">
        <v>275</v>
      </c>
      <c r="AI221" t="s">
        <v>345</v>
      </c>
      <c r="AK221">
        <v>2</v>
      </c>
      <c r="AM221">
        <f t="shared" si="30"/>
        <v>28</v>
      </c>
      <c r="AO221" t="s">
        <v>1105</v>
      </c>
      <c r="AP221" t="s">
        <v>282</v>
      </c>
      <c r="AQ221" t="s">
        <v>872</v>
      </c>
      <c r="AS221" t="s">
        <v>1094</v>
      </c>
      <c r="AT221" t="s">
        <v>191</v>
      </c>
      <c r="AU221" t="s">
        <v>191</v>
      </c>
      <c r="AV221" s="30">
        <v>0</v>
      </c>
      <c r="AW221" t="s">
        <v>287</v>
      </c>
      <c r="AX221" t="s">
        <v>191</v>
      </c>
      <c r="AZ221" t="s">
        <v>829</v>
      </c>
      <c r="BA221">
        <v>0</v>
      </c>
      <c r="BB221" t="s">
        <v>289</v>
      </c>
      <c r="BC221" t="s">
        <v>243</v>
      </c>
      <c r="BE221" t="s">
        <v>420</v>
      </c>
      <c r="BF221" t="s">
        <v>294</v>
      </c>
      <c r="BG221" t="s">
        <v>300</v>
      </c>
      <c r="BH221" t="s">
        <v>191</v>
      </c>
      <c r="BI221">
        <v>1</v>
      </c>
      <c r="BJ221" t="s">
        <v>370</v>
      </c>
      <c r="BK221" t="s">
        <v>880</v>
      </c>
      <c r="BL221" t="s">
        <v>319</v>
      </c>
      <c r="BM221" t="s">
        <v>872</v>
      </c>
      <c r="BN221" t="str">
        <f t="shared" si="25"/>
        <v>CUMS_Atonal</v>
      </c>
      <c r="BO221" t="s">
        <v>267</v>
      </c>
      <c r="BQ221">
        <v>11</v>
      </c>
      <c r="BR221">
        <v>11</v>
      </c>
      <c r="BS221" s="35">
        <v>10.079575596817</v>
      </c>
      <c r="BT221" s="35">
        <v>2.57294429708223</v>
      </c>
      <c r="BU221" s="35">
        <v>8.5334908399064595</v>
      </c>
      <c r="BV221" s="35"/>
      <c r="BW221" s="35">
        <v>13.262599469495999</v>
      </c>
      <c r="BX221" s="35">
        <v>2.7586206896551699</v>
      </c>
      <c r="BY221" s="35">
        <v>9.1493097664976499</v>
      </c>
      <c r="CB221" t="s">
        <v>268</v>
      </c>
      <c r="CD221" t="s">
        <v>268</v>
      </c>
      <c r="CE221" t="s">
        <v>267</v>
      </c>
      <c r="CF221" t="s">
        <v>309</v>
      </c>
      <c r="CG221" t="s">
        <v>268</v>
      </c>
      <c r="CI221" t="s">
        <v>268</v>
      </c>
      <c r="CK221" s="30">
        <f t="shared" si="27"/>
        <v>2</v>
      </c>
      <c r="CL221">
        <f t="shared" si="28"/>
        <v>3</v>
      </c>
    </row>
    <row r="222" spans="1:90" hidden="1" x14ac:dyDescent="0.35">
      <c r="A222" t="s">
        <v>896</v>
      </c>
      <c r="B222" t="s">
        <v>864</v>
      </c>
      <c r="C222" t="s">
        <v>865</v>
      </c>
      <c r="D222" t="s">
        <v>866</v>
      </c>
      <c r="E222" t="s">
        <v>867</v>
      </c>
      <c r="F222">
        <v>2024</v>
      </c>
      <c r="G222" t="s">
        <v>454</v>
      </c>
      <c r="I222" t="s">
        <v>333</v>
      </c>
      <c r="K222" t="s">
        <v>180</v>
      </c>
      <c r="L222" t="s">
        <v>181</v>
      </c>
      <c r="M222" t="s">
        <v>868</v>
      </c>
      <c r="N222" t="s">
        <v>179</v>
      </c>
      <c r="O222" t="s">
        <v>187</v>
      </c>
      <c r="P222" t="s">
        <v>869</v>
      </c>
      <c r="Q222" t="s">
        <v>187</v>
      </c>
      <c r="R222" t="s">
        <v>870</v>
      </c>
      <c r="S222" t="s">
        <v>204</v>
      </c>
      <c r="U222" t="s">
        <v>1117</v>
      </c>
      <c r="V222" t="s">
        <v>267</v>
      </c>
      <c r="W222" t="s">
        <v>317</v>
      </c>
      <c r="X222" t="s">
        <v>270</v>
      </c>
      <c r="Y222" t="s">
        <v>227</v>
      </c>
      <c r="AA222" t="s">
        <v>187</v>
      </c>
      <c r="AC222">
        <f t="shared" si="29"/>
        <v>56</v>
      </c>
      <c r="AE222" t="s">
        <v>273</v>
      </c>
      <c r="AG222" t="s">
        <v>275</v>
      </c>
      <c r="AI222" t="s">
        <v>345</v>
      </c>
      <c r="AK222">
        <v>2</v>
      </c>
      <c r="AM222">
        <f t="shared" si="30"/>
        <v>28</v>
      </c>
      <c r="AO222" t="s">
        <v>1105</v>
      </c>
      <c r="AP222" t="s">
        <v>282</v>
      </c>
      <c r="AQ222" t="s">
        <v>873</v>
      </c>
      <c r="AS222" t="s">
        <v>1096</v>
      </c>
      <c r="AT222" t="s">
        <v>191</v>
      </c>
      <c r="AU222" t="s">
        <v>191</v>
      </c>
      <c r="AV222" s="30">
        <v>0</v>
      </c>
      <c r="AW222" t="s">
        <v>287</v>
      </c>
      <c r="AX222" t="s">
        <v>191</v>
      </c>
      <c r="AZ222" t="s">
        <v>829</v>
      </c>
      <c r="BA222">
        <v>0</v>
      </c>
      <c r="BB222" t="s">
        <v>289</v>
      </c>
      <c r="BC222" t="s">
        <v>243</v>
      </c>
      <c r="BE222" t="s">
        <v>420</v>
      </c>
      <c r="BF222" t="s">
        <v>294</v>
      </c>
      <c r="BG222" t="s">
        <v>300</v>
      </c>
      <c r="BH222" t="s">
        <v>191</v>
      </c>
      <c r="BI222">
        <v>1</v>
      </c>
      <c r="BJ222" t="s">
        <v>370</v>
      </c>
      <c r="BK222" t="s">
        <v>880</v>
      </c>
      <c r="BL222" t="s">
        <v>319</v>
      </c>
      <c r="BM222" t="s">
        <v>877</v>
      </c>
      <c r="BN222" t="str">
        <f t="shared" si="25"/>
        <v>CUMS_ROCK</v>
      </c>
      <c r="BO222" t="s">
        <v>267</v>
      </c>
      <c r="BQ222">
        <v>11</v>
      </c>
      <c r="BR222">
        <v>11</v>
      </c>
      <c r="BS222" s="35">
        <v>10.079575596817</v>
      </c>
      <c r="BT222" s="35">
        <v>2.57294429708223</v>
      </c>
      <c r="BU222" s="35">
        <v>8.5334908399064595</v>
      </c>
      <c r="BV222" s="35"/>
      <c r="BW222" s="35">
        <v>12.5994694960212</v>
      </c>
      <c r="BX222" s="35">
        <v>1.88328912466844</v>
      </c>
      <c r="BY222" s="35">
        <v>6.2461633982820599</v>
      </c>
      <c r="CB222" t="s">
        <v>268</v>
      </c>
      <c r="CD222" t="s">
        <v>268</v>
      </c>
      <c r="CE222" t="s">
        <v>267</v>
      </c>
      <c r="CF222" t="s">
        <v>309</v>
      </c>
      <c r="CG222" t="s">
        <v>268</v>
      </c>
      <c r="CI222" t="s">
        <v>268</v>
      </c>
      <c r="CK222" s="30">
        <f t="shared" si="27"/>
        <v>2</v>
      </c>
      <c r="CL222">
        <f t="shared" si="28"/>
        <v>3</v>
      </c>
    </row>
    <row r="223" spans="1:90" hidden="1" x14ac:dyDescent="0.35">
      <c r="A223" t="s">
        <v>913</v>
      </c>
      <c r="B223" t="s">
        <v>898</v>
      </c>
      <c r="C223" t="s">
        <v>899</v>
      </c>
      <c r="D223" t="s">
        <v>900</v>
      </c>
      <c r="E223" t="s">
        <v>901</v>
      </c>
      <c r="F223">
        <v>2021</v>
      </c>
      <c r="G223" t="s">
        <v>175</v>
      </c>
      <c r="I223" t="s">
        <v>176</v>
      </c>
      <c r="K223" t="s">
        <v>178</v>
      </c>
      <c r="L223" t="s">
        <v>177</v>
      </c>
      <c r="M223" t="s">
        <v>1125</v>
      </c>
      <c r="N223" t="s">
        <v>179</v>
      </c>
      <c r="O223" t="s">
        <v>188</v>
      </c>
      <c r="P223" t="s">
        <v>903</v>
      </c>
      <c r="Q223" t="s">
        <v>189</v>
      </c>
      <c r="R223" t="s">
        <v>904</v>
      </c>
      <c r="S223" t="s">
        <v>208</v>
      </c>
      <c r="T223" t="s">
        <v>902</v>
      </c>
      <c r="U223" t="s">
        <v>1117</v>
      </c>
      <c r="V223" t="s">
        <v>268</v>
      </c>
      <c r="X223" t="s">
        <v>269</v>
      </c>
      <c r="AE223" t="s">
        <v>273</v>
      </c>
      <c r="AG223" t="s">
        <v>275</v>
      </c>
      <c r="AI223" t="s">
        <v>311</v>
      </c>
      <c r="AK223">
        <v>6</v>
      </c>
      <c r="AM223">
        <v>52</v>
      </c>
      <c r="AO223" t="s">
        <v>1106</v>
      </c>
      <c r="AP223" t="s">
        <v>282</v>
      </c>
      <c r="AQ223" t="s">
        <v>283</v>
      </c>
      <c r="AS223" t="s">
        <v>1094</v>
      </c>
      <c r="AT223">
        <v>70</v>
      </c>
      <c r="AU223" t="s">
        <v>191</v>
      </c>
      <c r="AV223" s="30">
        <v>1</v>
      </c>
      <c r="AW223" t="s">
        <v>288</v>
      </c>
      <c r="AX223">
        <v>70</v>
      </c>
      <c r="AZ223" t="s">
        <v>191</v>
      </c>
      <c r="BA223">
        <v>1</v>
      </c>
      <c r="BB223" t="s">
        <v>289</v>
      </c>
      <c r="BC223" t="s">
        <v>239</v>
      </c>
      <c r="BE223" t="s">
        <v>336</v>
      </c>
      <c r="BF223" t="s">
        <v>292</v>
      </c>
      <c r="BG223" t="s">
        <v>298</v>
      </c>
      <c r="BH223" t="s">
        <v>281</v>
      </c>
      <c r="BI223">
        <v>2</v>
      </c>
      <c r="BJ223" t="s">
        <v>315</v>
      </c>
      <c r="BK223" t="s">
        <v>906</v>
      </c>
      <c r="BL223" t="s">
        <v>907</v>
      </c>
      <c r="BM223" t="s">
        <v>908</v>
      </c>
      <c r="BN223" t="str">
        <f t="shared" si="25"/>
        <v>19WN_19_M</v>
      </c>
      <c r="BO223" t="s">
        <v>267</v>
      </c>
      <c r="BQ223">
        <v>14</v>
      </c>
      <c r="BR223">
        <v>13</v>
      </c>
      <c r="BS223" s="35">
        <v>9.1454272860000003</v>
      </c>
      <c r="BT223" s="35">
        <v>1.7991004500000001</v>
      </c>
      <c r="BU223" s="35">
        <v>6.7316174870000003</v>
      </c>
      <c r="BV223" s="35"/>
      <c r="BW223" s="35">
        <v>10.94452774</v>
      </c>
      <c r="BX223" s="35">
        <v>14.992503749999999</v>
      </c>
      <c r="BY223" s="35">
        <v>54.056241010000001</v>
      </c>
      <c r="CB223" t="s">
        <v>268</v>
      </c>
      <c r="CD223" t="s">
        <v>267</v>
      </c>
      <c r="CE223" t="s">
        <v>267</v>
      </c>
      <c r="CF223" t="s">
        <v>912</v>
      </c>
      <c r="CG223" t="s">
        <v>267</v>
      </c>
      <c r="CH223" t="s">
        <v>911</v>
      </c>
      <c r="CI223" t="s">
        <v>268</v>
      </c>
      <c r="CK223" s="30">
        <f t="shared" si="27"/>
        <v>3</v>
      </c>
      <c r="CL223">
        <f t="shared" si="28"/>
        <v>7</v>
      </c>
    </row>
    <row r="224" spans="1:90" hidden="1" x14ac:dyDescent="0.35">
      <c r="A224" t="s">
        <v>914</v>
      </c>
      <c r="B224" t="s">
        <v>898</v>
      </c>
      <c r="C224" t="s">
        <v>899</v>
      </c>
      <c r="D224" t="s">
        <v>900</v>
      </c>
      <c r="E224" t="s">
        <v>901</v>
      </c>
      <c r="F224">
        <v>2021</v>
      </c>
      <c r="G224" t="s">
        <v>175</v>
      </c>
      <c r="I224" t="s">
        <v>331</v>
      </c>
      <c r="K224" t="s">
        <v>178</v>
      </c>
      <c r="L224" t="s">
        <v>177</v>
      </c>
      <c r="M224" t="s">
        <v>1125</v>
      </c>
      <c r="N224" t="s">
        <v>179</v>
      </c>
      <c r="O224" t="s">
        <v>188</v>
      </c>
      <c r="P224" t="s">
        <v>903</v>
      </c>
      <c r="Q224" t="s">
        <v>189</v>
      </c>
      <c r="R224" t="s">
        <v>905</v>
      </c>
      <c r="S224" t="s">
        <v>208</v>
      </c>
      <c r="T224" t="s">
        <v>902</v>
      </c>
      <c r="U224" t="s">
        <v>1117</v>
      </c>
      <c r="V224" t="s">
        <v>268</v>
      </c>
      <c r="X224" t="s">
        <v>269</v>
      </c>
      <c r="AE224" t="s">
        <v>273</v>
      </c>
      <c r="AG224" t="s">
        <v>275</v>
      </c>
      <c r="AI224" t="s">
        <v>348</v>
      </c>
      <c r="AK224">
        <v>6</v>
      </c>
      <c r="AM224">
        <v>104</v>
      </c>
      <c r="AO224" t="s">
        <v>1107</v>
      </c>
      <c r="AP224" t="s">
        <v>282</v>
      </c>
      <c r="AQ224" t="s">
        <v>283</v>
      </c>
      <c r="AS224" t="s">
        <v>1094</v>
      </c>
      <c r="AT224">
        <v>70</v>
      </c>
      <c r="AU224" t="s">
        <v>191</v>
      </c>
      <c r="AV224" s="30">
        <v>1</v>
      </c>
      <c r="AW224" t="s">
        <v>288</v>
      </c>
      <c r="AX224">
        <v>70</v>
      </c>
      <c r="AZ224" t="s">
        <v>191</v>
      </c>
      <c r="BA224">
        <v>1</v>
      </c>
      <c r="BB224" t="s">
        <v>289</v>
      </c>
      <c r="BC224" t="s">
        <v>239</v>
      </c>
      <c r="BE224" t="s">
        <v>336</v>
      </c>
      <c r="BF224" t="s">
        <v>292</v>
      </c>
      <c r="BG224" t="s">
        <v>298</v>
      </c>
      <c r="BH224" t="s">
        <v>281</v>
      </c>
      <c r="BI224">
        <v>2</v>
      </c>
      <c r="BJ224" t="s">
        <v>315</v>
      </c>
      <c r="BK224" t="s">
        <v>906</v>
      </c>
      <c r="BL224" t="s">
        <v>909</v>
      </c>
      <c r="BM224" t="s">
        <v>910</v>
      </c>
      <c r="BN224" t="str">
        <f t="shared" si="25"/>
        <v>23_WN_23_M</v>
      </c>
      <c r="BO224" t="s">
        <v>267</v>
      </c>
      <c r="BQ224">
        <v>14</v>
      </c>
      <c r="BR224">
        <v>13</v>
      </c>
      <c r="BS224" s="35">
        <v>10.94452774</v>
      </c>
      <c r="BT224" s="35">
        <v>8.9955022489999994</v>
      </c>
      <c r="BU224" s="35">
        <v>33.658087440000003</v>
      </c>
      <c r="BV224" s="35"/>
      <c r="BW224" s="35">
        <v>13.643178410000001</v>
      </c>
      <c r="BX224" s="35">
        <v>1.649175412</v>
      </c>
      <c r="BY224" s="35">
        <v>5.9461865109999996</v>
      </c>
      <c r="CB224" t="s">
        <v>268</v>
      </c>
      <c r="CD224" t="s">
        <v>267</v>
      </c>
      <c r="CE224" t="s">
        <v>267</v>
      </c>
      <c r="CF224" t="s">
        <v>912</v>
      </c>
      <c r="CG224" t="s">
        <v>267</v>
      </c>
      <c r="CH224" t="s">
        <v>911</v>
      </c>
      <c r="CI224" t="s">
        <v>268</v>
      </c>
      <c r="CK224" s="30">
        <f t="shared" si="27"/>
        <v>3</v>
      </c>
      <c r="CL224">
        <f t="shared" si="28"/>
        <v>7</v>
      </c>
    </row>
    <row r="225" spans="1:90" hidden="1" x14ac:dyDescent="0.35">
      <c r="A225" t="s">
        <v>944</v>
      </c>
      <c r="B225" t="s">
        <v>925</v>
      </c>
      <c r="C225" t="s">
        <v>926</v>
      </c>
      <c r="D225" t="s">
        <v>530</v>
      </c>
      <c r="E225" t="s">
        <v>927</v>
      </c>
      <c r="F225">
        <v>2013</v>
      </c>
      <c r="G225" t="s">
        <v>175</v>
      </c>
      <c r="I225" t="s">
        <v>176</v>
      </c>
      <c r="K225" t="s">
        <v>178</v>
      </c>
      <c r="L225" t="s">
        <v>177</v>
      </c>
      <c r="M225" t="s">
        <v>1125</v>
      </c>
      <c r="N225" t="s">
        <v>179</v>
      </c>
      <c r="O225" t="s">
        <v>187</v>
      </c>
      <c r="P225" t="s">
        <v>928</v>
      </c>
      <c r="Q225" t="s">
        <v>190</v>
      </c>
      <c r="R225" t="s">
        <v>929</v>
      </c>
      <c r="S225" t="s">
        <v>204</v>
      </c>
      <c r="U225" t="s">
        <v>1117</v>
      </c>
      <c r="X225" t="s">
        <v>269</v>
      </c>
      <c r="AE225" t="s">
        <v>273</v>
      </c>
      <c r="AG225" t="s">
        <v>275</v>
      </c>
      <c r="AI225" t="s">
        <v>345</v>
      </c>
      <c r="AK225">
        <v>5</v>
      </c>
      <c r="AM225">
        <v>30</v>
      </c>
      <c r="AO225" t="s">
        <v>1106</v>
      </c>
      <c r="AP225" t="s">
        <v>281</v>
      </c>
      <c r="AQ225" t="s">
        <v>283</v>
      </c>
      <c r="AS225" t="s">
        <v>1094</v>
      </c>
      <c r="AT225" t="s">
        <v>313</v>
      </c>
      <c r="AU225" t="s">
        <v>689</v>
      </c>
      <c r="AV225" s="30">
        <v>2</v>
      </c>
      <c r="AW225" t="s">
        <v>287</v>
      </c>
      <c r="AX225">
        <v>50</v>
      </c>
      <c r="AZ225" t="s">
        <v>829</v>
      </c>
      <c r="BA225">
        <v>2</v>
      </c>
      <c r="BB225" t="s">
        <v>289</v>
      </c>
      <c r="BC225" t="s">
        <v>239</v>
      </c>
      <c r="BE225" t="s">
        <v>336</v>
      </c>
      <c r="BF225" t="s">
        <v>291</v>
      </c>
      <c r="BG225" t="s">
        <v>297</v>
      </c>
      <c r="BH225" t="s">
        <v>281</v>
      </c>
      <c r="BI225">
        <v>2</v>
      </c>
      <c r="BJ225" t="s">
        <v>370</v>
      </c>
      <c r="BK225" t="s">
        <v>930</v>
      </c>
      <c r="BL225" t="s">
        <v>935</v>
      </c>
      <c r="BM225" t="s">
        <v>936</v>
      </c>
      <c r="BN225" t="str">
        <f t="shared" si="25"/>
        <v>0.silence_0.music</v>
      </c>
      <c r="BO225" t="s">
        <v>267</v>
      </c>
      <c r="BQ225">
        <v>10</v>
      </c>
      <c r="BR225">
        <v>10</v>
      </c>
      <c r="BS225" s="35">
        <v>34.840871021775499</v>
      </c>
      <c r="BT225" s="35">
        <v>6.96817420435511</v>
      </c>
      <c r="BU225" s="35">
        <v>22.035301618593699</v>
      </c>
      <c r="BV225" s="35"/>
      <c r="BW225" s="35">
        <v>76.113902847571197</v>
      </c>
      <c r="BX225" s="35">
        <v>14.204355108877699</v>
      </c>
      <c r="BY225" s="35">
        <v>44.9181148379026</v>
      </c>
      <c r="CB225" t="s">
        <v>268</v>
      </c>
      <c r="CD225" t="s">
        <v>268</v>
      </c>
      <c r="CE225" t="s">
        <v>267</v>
      </c>
      <c r="CF225" t="s">
        <v>309</v>
      </c>
      <c r="CG225" t="s">
        <v>268</v>
      </c>
      <c r="CI225" t="s">
        <v>268</v>
      </c>
      <c r="CK225" s="30">
        <f t="shared" si="27"/>
        <v>2</v>
      </c>
      <c r="CL225">
        <f t="shared" si="28"/>
        <v>8</v>
      </c>
    </row>
    <row r="226" spans="1:90" hidden="1" x14ac:dyDescent="0.35">
      <c r="A226" t="s">
        <v>945</v>
      </c>
      <c r="B226" t="s">
        <v>925</v>
      </c>
      <c r="C226" t="s">
        <v>926</v>
      </c>
      <c r="D226" t="s">
        <v>530</v>
      </c>
      <c r="E226" t="s">
        <v>927</v>
      </c>
      <c r="F226">
        <v>2013</v>
      </c>
      <c r="G226" t="s">
        <v>175</v>
      </c>
      <c r="I226" t="s">
        <v>331</v>
      </c>
      <c r="K226" t="s">
        <v>178</v>
      </c>
      <c r="L226" t="s">
        <v>177</v>
      </c>
      <c r="M226" t="s">
        <v>1125</v>
      </c>
      <c r="N226" t="s">
        <v>179</v>
      </c>
      <c r="O226" t="s">
        <v>187</v>
      </c>
      <c r="P226" t="s">
        <v>928</v>
      </c>
      <c r="Q226" t="s">
        <v>190</v>
      </c>
      <c r="R226" t="s">
        <v>929</v>
      </c>
      <c r="S226" t="s">
        <v>204</v>
      </c>
      <c r="U226" t="s">
        <v>1117</v>
      </c>
      <c r="X226" t="s">
        <v>269</v>
      </c>
      <c r="AE226" t="s">
        <v>273</v>
      </c>
      <c r="AG226" t="s">
        <v>275</v>
      </c>
      <c r="AI226" t="s">
        <v>345</v>
      </c>
      <c r="AK226">
        <v>5</v>
      </c>
      <c r="AM226">
        <v>30</v>
      </c>
      <c r="AO226" t="s">
        <v>1106</v>
      </c>
      <c r="AP226" t="s">
        <v>281</v>
      </c>
      <c r="AQ226" t="s">
        <v>283</v>
      </c>
      <c r="AS226" t="s">
        <v>1094</v>
      </c>
      <c r="AT226" t="s">
        <v>313</v>
      </c>
      <c r="AU226" t="s">
        <v>689</v>
      </c>
      <c r="AV226" s="30">
        <v>2</v>
      </c>
      <c r="AW226" t="s">
        <v>287</v>
      </c>
      <c r="AX226">
        <v>50</v>
      </c>
      <c r="AZ226" t="s">
        <v>829</v>
      </c>
      <c r="BA226">
        <v>2</v>
      </c>
      <c r="BB226" t="s">
        <v>289</v>
      </c>
      <c r="BC226" t="s">
        <v>239</v>
      </c>
      <c r="BE226" t="s">
        <v>337</v>
      </c>
      <c r="BF226" t="s">
        <v>291</v>
      </c>
      <c r="BG226" t="s">
        <v>297</v>
      </c>
      <c r="BH226" t="s">
        <v>281</v>
      </c>
      <c r="BI226">
        <v>2</v>
      </c>
      <c r="BJ226" t="s">
        <v>370</v>
      </c>
      <c r="BK226" t="s">
        <v>931</v>
      </c>
      <c r="BL226" t="s">
        <v>935</v>
      </c>
      <c r="BM226" t="s">
        <v>936</v>
      </c>
      <c r="BN226" t="str">
        <f t="shared" si="25"/>
        <v>0.silence_0.music</v>
      </c>
      <c r="BO226" t="s">
        <v>268</v>
      </c>
      <c r="BQ226">
        <v>10</v>
      </c>
      <c r="BR226">
        <v>10</v>
      </c>
      <c r="BS226" s="35">
        <v>169.289827255278</v>
      </c>
      <c r="BT226" s="35">
        <v>17.274472168906001</v>
      </c>
      <c r="BU226" s="35">
        <v>54.6266774309317</v>
      </c>
      <c r="BV226" s="35"/>
      <c r="BW226" s="35">
        <v>164.68330134357001</v>
      </c>
      <c r="BX226" s="35">
        <v>18.042226487524001</v>
      </c>
      <c r="BY226" s="35">
        <v>57.054529761195298</v>
      </c>
      <c r="CB226" t="s">
        <v>268</v>
      </c>
      <c r="CD226" t="s">
        <v>268</v>
      </c>
      <c r="CE226" t="s">
        <v>267</v>
      </c>
      <c r="CF226" t="s">
        <v>309</v>
      </c>
      <c r="CG226" t="s">
        <v>268</v>
      </c>
      <c r="CI226" t="s">
        <v>268</v>
      </c>
      <c r="CK226" s="30">
        <f t="shared" si="27"/>
        <v>2</v>
      </c>
      <c r="CL226">
        <f t="shared" si="28"/>
        <v>8</v>
      </c>
    </row>
    <row r="227" spans="1:90" hidden="1" x14ac:dyDescent="0.35">
      <c r="A227" t="s">
        <v>946</v>
      </c>
      <c r="B227" t="s">
        <v>925</v>
      </c>
      <c r="C227" t="s">
        <v>926</v>
      </c>
      <c r="D227" t="s">
        <v>530</v>
      </c>
      <c r="E227" t="s">
        <v>927</v>
      </c>
      <c r="F227">
        <v>2013</v>
      </c>
      <c r="G227" t="s">
        <v>175</v>
      </c>
      <c r="I227" t="s">
        <v>332</v>
      </c>
      <c r="K227" t="s">
        <v>178</v>
      </c>
      <c r="L227" t="s">
        <v>177</v>
      </c>
      <c r="M227" t="s">
        <v>1125</v>
      </c>
      <c r="N227" t="s">
        <v>179</v>
      </c>
      <c r="O227" t="s">
        <v>187</v>
      </c>
      <c r="P227" t="s">
        <v>928</v>
      </c>
      <c r="Q227" t="s">
        <v>190</v>
      </c>
      <c r="R227" t="s">
        <v>929</v>
      </c>
      <c r="S227" t="s">
        <v>204</v>
      </c>
      <c r="U227" t="s">
        <v>1117</v>
      </c>
      <c r="X227" t="s">
        <v>269</v>
      </c>
      <c r="AE227" t="s">
        <v>273</v>
      </c>
      <c r="AG227" t="s">
        <v>275</v>
      </c>
      <c r="AI227" t="s">
        <v>345</v>
      </c>
      <c r="AK227">
        <v>5</v>
      </c>
      <c r="AM227">
        <v>30</v>
      </c>
      <c r="AO227" t="s">
        <v>1106</v>
      </c>
      <c r="AP227" t="s">
        <v>281</v>
      </c>
      <c r="AQ227" t="s">
        <v>283</v>
      </c>
      <c r="AS227" t="s">
        <v>1094</v>
      </c>
      <c r="AT227" t="s">
        <v>313</v>
      </c>
      <c r="AU227" t="s">
        <v>689</v>
      </c>
      <c r="AV227" s="30">
        <v>2</v>
      </c>
      <c r="AW227" t="s">
        <v>287</v>
      </c>
      <c r="AX227">
        <v>50</v>
      </c>
      <c r="AZ227" t="s">
        <v>829</v>
      </c>
      <c r="BA227">
        <v>2</v>
      </c>
      <c r="BB227" t="s">
        <v>289</v>
      </c>
      <c r="BC227" t="s">
        <v>239</v>
      </c>
      <c r="BE227" t="s">
        <v>314</v>
      </c>
      <c r="BF227" t="s">
        <v>294</v>
      </c>
      <c r="BG227" t="s">
        <v>300</v>
      </c>
      <c r="BH227" t="s">
        <v>281</v>
      </c>
      <c r="BI227">
        <v>2</v>
      </c>
      <c r="BJ227" t="s">
        <v>370</v>
      </c>
      <c r="BK227" t="s">
        <v>932</v>
      </c>
      <c r="BL227" t="s">
        <v>935</v>
      </c>
      <c r="BM227" t="s">
        <v>936</v>
      </c>
      <c r="BN227" t="str">
        <f t="shared" si="25"/>
        <v>0.silence_0.music</v>
      </c>
      <c r="BO227" t="s">
        <v>267</v>
      </c>
      <c r="BQ227">
        <v>10</v>
      </c>
      <c r="BR227">
        <v>10</v>
      </c>
      <c r="BS227" s="35">
        <v>3.2867132867132902</v>
      </c>
      <c r="BT227" s="35">
        <v>0.57692307692307798</v>
      </c>
      <c r="BU227" s="35">
        <v>1.8243909577894499</v>
      </c>
      <c r="BV227" s="35"/>
      <c r="BW227" s="35">
        <v>8.3041958041958104</v>
      </c>
      <c r="BX227" s="35">
        <v>0.856643356643355</v>
      </c>
      <c r="BY227" s="35">
        <v>2.70894414944493</v>
      </c>
      <c r="CB227" t="s">
        <v>268</v>
      </c>
      <c r="CD227" t="s">
        <v>268</v>
      </c>
      <c r="CE227" t="s">
        <v>267</v>
      </c>
      <c r="CF227" t="s">
        <v>309</v>
      </c>
      <c r="CG227" t="s">
        <v>268</v>
      </c>
      <c r="CI227" t="s">
        <v>268</v>
      </c>
      <c r="CK227" s="30">
        <f t="shared" si="27"/>
        <v>2</v>
      </c>
      <c r="CL227">
        <f t="shared" si="28"/>
        <v>8</v>
      </c>
    </row>
    <row r="228" spans="1:90" hidden="1" x14ac:dyDescent="0.35">
      <c r="A228" t="s">
        <v>947</v>
      </c>
      <c r="B228" t="s">
        <v>925</v>
      </c>
      <c r="C228" t="s">
        <v>926</v>
      </c>
      <c r="D228" t="s">
        <v>530</v>
      </c>
      <c r="E228" t="s">
        <v>927</v>
      </c>
      <c r="F228">
        <v>2013</v>
      </c>
      <c r="G228" t="s">
        <v>175</v>
      </c>
      <c r="I228" t="s">
        <v>333</v>
      </c>
      <c r="K228" t="s">
        <v>178</v>
      </c>
      <c r="L228" t="s">
        <v>177</v>
      </c>
      <c r="M228" t="s">
        <v>1125</v>
      </c>
      <c r="N228" t="s">
        <v>179</v>
      </c>
      <c r="O228" t="s">
        <v>187</v>
      </c>
      <c r="P228" t="s">
        <v>928</v>
      </c>
      <c r="Q228" t="s">
        <v>190</v>
      </c>
      <c r="R228" t="s">
        <v>929</v>
      </c>
      <c r="S228" t="s">
        <v>204</v>
      </c>
      <c r="U228" t="s">
        <v>1117</v>
      </c>
      <c r="X228" t="s">
        <v>269</v>
      </c>
      <c r="AE228" t="s">
        <v>273</v>
      </c>
      <c r="AG228" t="s">
        <v>275</v>
      </c>
      <c r="AI228" t="s">
        <v>345</v>
      </c>
      <c r="AK228">
        <v>5</v>
      </c>
      <c r="AM228">
        <v>30</v>
      </c>
      <c r="AO228" t="s">
        <v>1106</v>
      </c>
      <c r="AP228" t="s">
        <v>281</v>
      </c>
      <c r="AQ228" t="s">
        <v>283</v>
      </c>
      <c r="AS228" t="s">
        <v>1094</v>
      </c>
      <c r="AT228" t="s">
        <v>313</v>
      </c>
      <c r="AU228" t="s">
        <v>689</v>
      </c>
      <c r="AV228" s="30">
        <v>2</v>
      </c>
      <c r="AW228" t="s">
        <v>287</v>
      </c>
      <c r="AX228">
        <v>50</v>
      </c>
      <c r="AZ228" t="s">
        <v>829</v>
      </c>
      <c r="BA228">
        <v>2</v>
      </c>
      <c r="BB228" t="s">
        <v>289</v>
      </c>
      <c r="BC228" t="s">
        <v>239</v>
      </c>
      <c r="BE228" t="s">
        <v>321</v>
      </c>
      <c r="BF228" t="s">
        <v>294</v>
      </c>
      <c r="BG228" t="s">
        <v>300</v>
      </c>
      <c r="BH228" t="s">
        <v>281</v>
      </c>
      <c r="BI228">
        <v>2</v>
      </c>
      <c r="BJ228" t="s">
        <v>370</v>
      </c>
      <c r="BK228" t="s">
        <v>933</v>
      </c>
      <c r="BL228" t="s">
        <v>935</v>
      </c>
      <c r="BM228" t="s">
        <v>936</v>
      </c>
      <c r="BN228" t="str">
        <f t="shared" si="25"/>
        <v>0.silence_0.music</v>
      </c>
      <c r="BO228" t="s">
        <v>268</v>
      </c>
      <c r="BQ228">
        <v>10</v>
      </c>
      <c r="BR228">
        <v>10</v>
      </c>
      <c r="BS228" s="35">
        <v>11.398026315789499</v>
      </c>
      <c r="BT228" s="35">
        <v>1.2088815789473699</v>
      </c>
      <c r="BU228" s="35">
        <v>3.8228192108943602</v>
      </c>
      <c r="BV228" s="35"/>
      <c r="BW228" s="35">
        <v>11.5213815789474</v>
      </c>
      <c r="BX228" s="35">
        <v>1.4309210526315801</v>
      </c>
      <c r="BY228" s="35">
        <v>4.5249696782014599</v>
      </c>
      <c r="CB228" t="s">
        <v>268</v>
      </c>
      <c r="CD228" t="s">
        <v>268</v>
      </c>
      <c r="CE228" t="s">
        <v>267</v>
      </c>
      <c r="CF228" t="s">
        <v>309</v>
      </c>
      <c r="CG228" t="s">
        <v>268</v>
      </c>
      <c r="CI228" t="s">
        <v>268</v>
      </c>
      <c r="CK228" s="30">
        <f t="shared" si="27"/>
        <v>2</v>
      </c>
      <c r="CL228">
        <f t="shared" si="28"/>
        <v>8</v>
      </c>
    </row>
    <row r="229" spans="1:90" hidden="1" x14ac:dyDescent="0.35">
      <c r="A229" t="s">
        <v>948</v>
      </c>
      <c r="B229" t="s">
        <v>925</v>
      </c>
      <c r="C229" t="s">
        <v>926</v>
      </c>
      <c r="D229" t="s">
        <v>530</v>
      </c>
      <c r="E229" t="s">
        <v>927</v>
      </c>
      <c r="F229">
        <v>2013</v>
      </c>
      <c r="G229" t="s">
        <v>175</v>
      </c>
      <c r="I229" t="s">
        <v>334</v>
      </c>
      <c r="K229" t="s">
        <v>178</v>
      </c>
      <c r="L229" t="s">
        <v>177</v>
      </c>
      <c r="M229" t="s">
        <v>1125</v>
      </c>
      <c r="N229" t="s">
        <v>179</v>
      </c>
      <c r="O229" t="s">
        <v>187</v>
      </c>
      <c r="P229" t="s">
        <v>928</v>
      </c>
      <c r="Q229" t="s">
        <v>190</v>
      </c>
      <c r="R229" t="s">
        <v>929</v>
      </c>
      <c r="S229" t="s">
        <v>204</v>
      </c>
      <c r="U229" t="s">
        <v>1117</v>
      </c>
      <c r="X229" t="s">
        <v>269</v>
      </c>
      <c r="AE229" t="s">
        <v>273</v>
      </c>
      <c r="AG229" t="s">
        <v>275</v>
      </c>
      <c r="AI229" t="s">
        <v>345</v>
      </c>
      <c r="AK229">
        <v>5</v>
      </c>
      <c r="AM229">
        <v>30</v>
      </c>
      <c r="AO229" t="s">
        <v>1106</v>
      </c>
      <c r="AP229" t="s">
        <v>281</v>
      </c>
      <c r="AQ229" t="s">
        <v>283</v>
      </c>
      <c r="AS229" t="s">
        <v>1094</v>
      </c>
      <c r="AT229" t="s">
        <v>313</v>
      </c>
      <c r="AU229" t="s">
        <v>689</v>
      </c>
      <c r="AV229" s="30">
        <v>2</v>
      </c>
      <c r="AW229" t="s">
        <v>287</v>
      </c>
      <c r="AX229">
        <v>50</v>
      </c>
      <c r="AZ229" t="s">
        <v>829</v>
      </c>
      <c r="BA229">
        <v>2</v>
      </c>
      <c r="BB229" t="s">
        <v>289</v>
      </c>
      <c r="BC229" t="s">
        <v>239</v>
      </c>
      <c r="BE229" t="s">
        <v>690</v>
      </c>
      <c r="BF229" t="s">
        <v>291</v>
      </c>
      <c r="BG229" t="s">
        <v>297</v>
      </c>
      <c r="BH229" t="s">
        <v>281</v>
      </c>
      <c r="BI229">
        <v>2</v>
      </c>
      <c r="BJ229" t="s">
        <v>370</v>
      </c>
      <c r="BK229" t="s">
        <v>934</v>
      </c>
      <c r="BL229" t="s">
        <v>935</v>
      </c>
      <c r="BM229" t="s">
        <v>936</v>
      </c>
      <c r="BN229" t="str">
        <f t="shared" si="25"/>
        <v>0.silence_0.music</v>
      </c>
      <c r="BO229" t="s">
        <v>267</v>
      </c>
      <c r="BQ229">
        <v>10</v>
      </c>
      <c r="BR229">
        <v>10</v>
      </c>
      <c r="BS229" s="35">
        <v>74.858223062381896</v>
      </c>
      <c r="BT229" s="35">
        <v>7.37240075614368</v>
      </c>
      <c r="BU229" s="35">
        <v>23.313578212961598</v>
      </c>
      <c r="BV229" s="35"/>
      <c r="BW229" s="35">
        <v>86.767485822306298</v>
      </c>
      <c r="BX229" s="35">
        <v>10.2079395085066</v>
      </c>
      <c r="BY229" s="35">
        <v>32.280339064100602</v>
      </c>
      <c r="CB229" t="s">
        <v>268</v>
      </c>
      <c r="CD229" t="s">
        <v>268</v>
      </c>
      <c r="CE229" t="s">
        <v>267</v>
      </c>
      <c r="CF229" t="s">
        <v>309</v>
      </c>
      <c r="CG229" t="s">
        <v>268</v>
      </c>
      <c r="CI229" t="s">
        <v>268</v>
      </c>
      <c r="CK229" s="30">
        <f t="shared" si="27"/>
        <v>2</v>
      </c>
      <c r="CL229">
        <f t="shared" si="28"/>
        <v>8</v>
      </c>
    </row>
    <row r="230" spans="1:90" hidden="1" x14ac:dyDescent="0.35">
      <c r="A230" t="s">
        <v>949</v>
      </c>
      <c r="B230" t="s">
        <v>925</v>
      </c>
      <c r="C230" t="s">
        <v>926</v>
      </c>
      <c r="D230" t="s">
        <v>530</v>
      </c>
      <c r="E230" t="s">
        <v>927</v>
      </c>
      <c r="F230">
        <v>2013</v>
      </c>
      <c r="G230" t="s">
        <v>175</v>
      </c>
      <c r="I230" t="s">
        <v>335</v>
      </c>
      <c r="K230" t="s">
        <v>178</v>
      </c>
      <c r="L230" t="s">
        <v>177</v>
      </c>
      <c r="M230" t="s">
        <v>1125</v>
      </c>
      <c r="N230" t="s">
        <v>179</v>
      </c>
      <c r="O230" t="s">
        <v>187</v>
      </c>
      <c r="P230" t="s">
        <v>928</v>
      </c>
      <c r="Q230" t="s">
        <v>190</v>
      </c>
      <c r="R230" t="s">
        <v>929</v>
      </c>
      <c r="S230" t="s">
        <v>204</v>
      </c>
      <c r="U230" t="s">
        <v>1117</v>
      </c>
      <c r="X230" t="s">
        <v>269</v>
      </c>
      <c r="AE230" t="s">
        <v>273</v>
      </c>
      <c r="AG230" t="s">
        <v>275</v>
      </c>
      <c r="AI230" t="s">
        <v>345</v>
      </c>
      <c r="AK230">
        <v>5</v>
      </c>
      <c r="AM230">
        <v>30</v>
      </c>
      <c r="AO230" t="s">
        <v>1106</v>
      </c>
      <c r="AP230" t="s">
        <v>281</v>
      </c>
      <c r="AQ230" t="s">
        <v>283</v>
      </c>
      <c r="AS230" t="s">
        <v>1094</v>
      </c>
      <c r="AT230" t="s">
        <v>313</v>
      </c>
      <c r="AU230" t="s">
        <v>689</v>
      </c>
      <c r="AV230" s="30">
        <v>2</v>
      </c>
      <c r="AW230" t="s">
        <v>287</v>
      </c>
      <c r="AX230">
        <v>50</v>
      </c>
      <c r="AZ230" t="s">
        <v>829</v>
      </c>
      <c r="BA230">
        <v>2</v>
      </c>
      <c r="BB230" t="s">
        <v>289</v>
      </c>
      <c r="BC230" t="s">
        <v>243</v>
      </c>
      <c r="BE230" t="s">
        <v>434</v>
      </c>
      <c r="BF230" t="s">
        <v>291</v>
      </c>
      <c r="BG230" t="s">
        <v>297</v>
      </c>
      <c r="BH230" t="s">
        <v>281</v>
      </c>
      <c r="BI230">
        <v>2</v>
      </c>
      <c r="BJ230" t="s">
        <v>315</v>
      </c>
      <c r="BK230" t="s">
        <v>937</v>
      </c>
      <c r="BL230" t="s">
        <v>935</v>
      </c>
      <c r="BM230" t="s">
        <v>936</v>
      </c>
      <c r="BN230" t="str">
        <f t="shared" ref="BN230:BN237" si="31">_xlfn.CONCAT(BL230:BM230)</f>
        <v>0.silence_0.music</v>
      </c>
      <c r="BO230" t="s">
        <v>267</v>
      </c>
      <c r="BQ230">
        <v>10</v>
      </c>
      <c r="BR230">
        <v>10</v>
      </c>
      <c r="BS230" s="35">
        <v>121.610169491525</v>
      </c>
      <c r="BT230" s="35">
        <v>11.0169491525424</v>
      </c>
      <c r="BU230" s="35">
        <v>34.838652188295697</v>
      </c>
      <c r="BV230" s="35"/>
      <c r="BW230" s="35">
        <v>153.813559322034</v>
      </c>
      <c r="BX230" s="35">
        <v>16.5254237288136</v>
      </c>
      <c r="BY230" s="35">
        <v>52.257978282443602</v>
      </c>
      <c r="CB230" t="s">
        <v>268</v>
      </c>
      <c r="CD230" t="s">
        <v>268</v>
      </c>
      <c r="CE230" t="s">
        <v>267</v>
      </c>
      <c r="CF230" t="s">
        <v>309</v>
      </c>
      <c r="CG230" t="s">
        <v>268</v>
      </c>
      <c r="CI230" t="s">
        <v>268</v>
      </c>
      <c r="CK230" s="30">
        <f t="shared" si="27"/>
        <v>2</v>
      </c>
      <c r="CL230">
        <f t="shared" si="28"/>
        <v>8</v>
      </c>
    </row>
    <row r="231" spans="1:90" hidden="1" x14ac:dyDescent="0.35">
      <c r="A231" t="s">
        <v>950</v>
      </c>
      <c r="B231" t="s">
        <v>925</v>
      </c>
      <c r="C231" t="s">
        <v>926</v>
      </c>
      <c r="D231" t="s">
        <v>530</v>
      </c>
      <c r="E231" t="s">
        <v>927</v>
      </c>
      <c r="F231">
        <v>2013</v>
      </c>
      <c r="G231" t="s">
        <v>175</v>
      </c>
      <c r="I231" t="s">
        <v>491</v>
      </c>
      <c r="K231" t="s">
        <v>178</v>
      </c>
      <c r="L231" t="s">
        <v>177</v>
      </c>
      <c r="M231" t="s">
        <v>1125</v>
      </c>
      <c r="N231" t="s">
        <v>179</v>
      </c>
      <c r="O231" t="s">
        <v>187</v>
      </c>
      <c r="P231" t="s">
        <v>928</v>
      </c>
      <c r="Q231" t="s">
        <v>190</v>
      </c>
      <c r="R231" t="s">
        <v>929</v>
      </c>
      <c r="S231" t="s">
        <v>204</v>
      </c>
      <c r="U231" t="s">
        <v>1117</v>
      </c>
      <c r="X231" t="s">
        <v>269</v>
      </c>
      <c r="AE231" t="s">
        <v>273</v>
      </c>
      <c r="AG231" t="s">
        <v>275</v>
      </c>
      <c r="AI231" t="s">
        <v>345</v>
      </c>
      <c r="AK231">
        <v>5</v>
      </c>
      <c r="AM231">
        <v>30</v>
      </c>
      <c r="AO231" t="s">
        <v>1106</v>
      </c>
      <c r="AP231" t="s">
        <v>281</v>
      </c>
      <c r="AQ231" t="s">
        <v>283</v>
      </c>
      <c r="AS231" t="s">
        <v>1094</v>
      </c>
      <c r="AT231" t="s">
        <v>313</v>
      </c>
      <c r="AU231" t="s">
        <v>689</v>
      </c>
      <c r="AV231" s="30">
        <v>2</v>
      </c>
      <c r="AW231" t="s">
        <v>287</v>
      </c>
      <c r="AX231">
        <v>50</v>
      </c>
      <c r="AZ231" t="s">
        <v>829</v>
      </c>
      <c r="BA231">
        <v>2</v>
      </c>
      <c r="BB231" t="s">
        <v>289</v>
      </c>
      <c r="BC231" t="s">
        <v>243</v>
      </c>
      <c r="BE231" t="s">
        <v>434</v>
      </c>
      <c r="BF231" t="s">
        <v>293</v>
      </c>
      <c r="BG231" t="s">
        <v>369</v>
      </c>
      <c r="BH231" t="s">
        <v>281</v>
      </c>
      <c r="BI231">
        <v>2</v>
      </c>
      <c r="BJ231" t="s">
        <v>315</v>
      </c>
      <c r="BK231" t="s">
        <v>940</v>
      </c>
      <c r="BL231" t="s">
        <v>935</v>
      </c>
      <c r="BM231" t="s">
        <v>936</v>
      </c>
      <c r="BN231" t="str">
        <f t="shared" si="31"/>
        <v>0.silence_0.music</v>
      </c>
      <c r="BO231" t="s">
        <v>267</v>
      </c>
      <c r="BQ231">
        <v>10</v>
      </c>
      <c r="BR231">
        <v>10</v>
      </c>
      <c r="BS231" s="35">
        <v>4.3001745200698096</v>
      </c>
      <c r="BT231" s="35">
        <v>0.37696335078533999</v>
      </c>
      <c r="BU231" s="35">
        <v>1.1920627828907</v>
      </c>
      <c r="BV231" s="35"/>
      <c r="BW231" s="35">
        <v>4.8865619546247796</v>
      </c>
      <c r="BX231" s="35">
        <v>0.50261780104711995</v>
      </c>
      <c r="BY231" s="35">
        <v>1.5894170438542601</v>
      </c>
      <c r="CB231" t="s">
        <v>268</v>
      </c>
      <c r="CD231" t="s">
        <v>268</v>
      </c>
      <c r="CE231" t="s">
        <v>267</v>
      </c>
      <c r="CF231" t="s">
        <v>309</v>
      </c>
      <c r="CG231" t="s">
        <v>268</v>
      </c>
      <c r="CI231" t="s">
        <v>268</v>
      </c>
      <c r="CK231" s="30">
        <f t="shared" si="27"/>
        <v>2</v>
      </c>
      <c r="CL231">
        <f t="shared" si="28"/>
        <v>8</v>
      </c>
    </row>
    <row r="232" spans="1:90" hidden="1" x14ac:dyDescent="0.35">
      <c r="A232" t="s">
        <v>951</v>
      </c>
      <c r="B232" t="s">
        <v>925</v>
      </c>
      <c r="C232" t="s">
        <v>926</v>
      </c>
      <c r="D232" t="s">
        <v>530</v>
      </c>
      <c r="E232" t="s">
        <v>927</v>
      </c>
      <c r="F232">
        <v>2013</v>
      </c>
      <c r="G232" t="s">
        <v>175</v>
      </c>
      <c r="I232" t="s">
        <v>492</v>
      </c>
      <c r="K232" t="s">
        <v>178</v>
      </c>
      <c r="L232" t="s">
        <v>177</v>
      </c>
      <c r="M232" t="s">
        <v>1125</v>
      </c>
      <c r="N232" t="s">
        <v>179</v>
      </c>
      <c r="O232" t="s">
        <v>187</v>
      </c>
      <c r="P232" t="s">
        <v>928</v>
      </c>
      <c r="Q232" t="s">
        <v>190</v>
      </c>
      <c r="R232" t="s">
        <v>929</v>
      </c>
      <c r="S232" t="s">
        <v>204</v>
      </c>
      <c r="U232" t="s">
        <v>1117</v>
      </c>
      <c r="X232" t="s">
        <v>269</v>
      </c>
      <c r="AE232" t="s">
        <v>273</v>
      </c>
      <c r="AG232" t="s">
        <v>275</v>
      </c>
      <c r="AI232" t="s">
        <v>345</v>
      </c>
      <c r="AK232">
        <v>5</v>
      </c>
      <c r="AM232">
        <v>30</v>
      </c>
      <c r="AO232" t="s">
        <v>1106</v>
      </c>
      <c r="AP232" t="s">
        <v>281</v>
      </c>
      <c r="AQ232" t="s">
        <v>283</v>
      </c>
      <c r="AS232" t="s">
        <v>1094</v>
      </c>
      <c r="AT232" t="s">
        <v>313</v>
      </c>
      <c r="AU232" t="s">
        <v>689</v>
      </c>
      <c r="AV232" s="30">
        <v>2</v>
      </c>
      <c r="AW232" t="s">
        <v>287</v>
      </c>
      <c r="AX232">
        <v>50</v>
      </c>
      <c r="AZ232" t="s">
        <v>829</v>
      </c>
      <c r="BA232">
        <v>2</v>
      </c>
      <c r="BB232" t="s">
        <v>289</v>
      </c>
      <c r="BC232" t="s">
        <v>243</v>
      </c>
      <c r="BE232" t="s">
        <v>559</v>
      </c>
      <c r="BF232" t="s">
        <v>291</v>
      </c>
      <c r="BG232" t="s">
        <v>297</v>
      </c>
      <c r="BH232" t="s">
        <v>281</v>
      </c>
      <c r="BI232">
        <v>2</v>
      </c>
      <c r="BJ232" t="s">
        <v>315</v>
      </c>
      <c r="BK232" t="s">
        <v>938</v>
      </c>
      <c r="BL232" t="s">
        <v>935</v>
      </c>
      <c r="BM232" t="s">
        <v>936</v>
      </c>
      <c r="BN232" t="str">
        <f t="shared" si="31"/>
        <v>0.silence_0.music</v>
      </c>
      <c r="BO232" t="s">
        <v>268</v>
      </c>
      <c r="BQ232">
        <v>10</v>
      </c>
      <c r="BR232">
        <v>10</v>
      </c>
      <c r="BS232" s="35">
        <v>110.891089108911</v>
      </c>
      <c r="BT232" s="35">
        <v>15.049504950495001</v>
      </c>
      <c r="BU232" s="35">
        <v>47.590713301543801</v>
      </c>
      <c r="BV232" s="35"/>
      <c r="BW232" s="35">
        <v>128.316831683168</v>
      </c>
      <c r="BX232" s="35">
        <v>23.762376237623801</v>
      </c>
      <c r="BY232" s="35">
        <v>75.143231528753503</v>
      </c>
      <c r="CB232" t="s">
        <v>268</v>
      </c>
      <c r="CD232" t="s">
        <v>268</v>
      </c>
      <c r="CE232" t="s">
        <v>267</v>
      </c>
      <c r="CF232" t="s">
        <v>309</v>
      </c>
      <c r="CG232" t="s">
        <v>268</v>
      </c>
      <c r="CI232" t="s">
        <v>268</v>
      </c>
      <c r="CK232" s="30">
        <f t="shared" si="27"/>
        <v>2</v>
      </c>
      <c r="CL232">
        <f t="shared" si="28"/>
        <v>8</v>
      </c>
    </row>
    <row r="233" spans="1:90" hidden="1" x14ac:dyDescent="0.35">
      <c r="A233" t="s">
        <v>952</v>
      </c>
      <c r="B233" t="s">
        <v>925</v>
      </c>
      <c r="C233" t="s">
        <v>926</v>
      </c>
      <c r="D233" t="s">
        <v>530</v>
      </c>
      <c r="E233" t="s">
        <v>927</v>
      </c>
      <c r="F233">
        <v>2013</v>
      </c>
      <c r="G233" t="s">
        <v>175</v>
      </c>
      <c r="I233" t="s">
        <v>493</v>
      </c>
      <c r="K233" t="s">
        <v>178</v>
      </c>
      <c r="L233" t="s">
        <v>177</v>
      </c>
      <c r="M233" t="s">
        <v>1125</v>
      </c>
      <c r="N233" t="s">
        <v>179</v>
      </c>
      <c r="O233" t="s">
        <v>187</v>
      </c>
      <c r="P233" t="s">
        <v>928</v>
      </c>
      <c r="Q233" t="s">
        <v>190</v>
      </c>
      <c r="R233" t="s">
        <v>929</v>
      </c>
      <c r="S233" t="s">
        <v>204</v>
      </c>
      <c r="U233" t="s">
        <v>1117</v>
      </c>
      <c r="X233" t="s">
        <v>269</v>
      </c>
      <c r="AE233" t="s">
        <v>273</v>
      </c>
      <c r="AG233" t="s">
        <v>275</v>
      </c>
      <c r="AI233" t="s">
        <v>345</v>
      </c>
      <c r="AK233">
        <v>5</v>
      </c>
      <c r="AM233">
        <v>30</v>
      </c>
      <c r="AO233" t="s">
        <v>1106</v>
      </c>
      <c r="AP233" t="s">
        <v>281</v>
      </c>
      <c r="AQ233" t="s">
        <v>283</v>
      </c>
      <c r="AS233" t="s">
        <v>1094</v>
      </c>
      <c r="AT233" t="s">
        <v>313</v>
      </c>
      <c r="AU233" t="s">
        <v>689</v>
      </c>
      <c r="AV233" s="30">
        <v>2</v>
      </c>
      <c r="AW233" t="s">
        <v>287</v>
      </c>
      <c r="AX233">
        <v>50</v>
      </c>
      <c r="AZ233" t="s">
        <v>829</v>
      </c>
      <c r="BA233">
        <v>2</v>
      </c>
      <c r="BB233" t="s">
        <v>289</v>
      </c>
      <c r="BC233" t="s">
        <v>243</v>
      </c>
      <c r="BE233" t="s">
        <v>420</v>
      </c>
      <c r="BF233" t="s">
        <v>291</v>
      </c>
      <c r="BG233" t="s">
        <v>297</v>
      </c>
      <c r="BH233" t="s">
        <v>281</v>
      </c>
      <c r="BI233">
        <v>2</v>
      </c>
      <c r="BJ233" t="s">
        <v>315</v>
      </c>
      <c r="BK233" t="s">
        <v>939</v>
      </c>
      <c r="BL233" t="s">
        <v>935</v>
      </c>
      <c r="BM233" t="s">
        <v>936</v>
      </c>
      <c r="BN233" t="str">
        <f t="shared" si="31"/>
        <v>0.silence_0.music</v>
      </c>
      <c r="BO233" t="s">
        <v>267</v>
      </c>
      <c r="BQ233">
        <v>10</v>
      </c>
      <c r="BR233">
        <v>10</v>
      </c>
      <c r="BS233" s="35">
        <v>56.200716845878098</v>
      </c>
      <c r="BT233" s="35">
        <v>10.9139784946237</v>
      </c>
      <c r="BU233" s="35">
        <v>34.513030377106602</v>
      </c>
      <c r="BV233" s="35"/>
      <c r="BW233" s="35">
        <v>38.763440860214999</v>
      </c>
      <c r="BX233" s="35">
        <v>6.8996415770609296</v>
      </c>
      <c r="BY233" s="35">
        <v>21.818582422308701</v>
      </c>
      <c r="CB233" t="s">
        <v>268</v>
      </c>
      <c r="CD233" t="s">
        <v>268</v>
      </c>
      <c r="CE233" t="s">
        <v>267</v>
      </c>
      <c r="CF233" t="s">
        <v>309</v>
      </c>
      <c r="CG233" t="s">
        <v>268</v>
      </c>
      <c r="CI233" t="s">
        <v>268</v>
      </c>
      <c r="CK233" s="30">
        <f t="shared" si="27"/>
        <v>2</v>
      </c>
      <c r="CL233">
        <f t="shared" si="28"/>
        <v>8</v>
      </c>
    </row>
    <row r="234" spans="1:90" hidden="1" x14ac:dyDescent="0.35">
      <c r="A234" t="s">
        <v>953</v>
      </c>
      <c r="B234" t="s">
        <v>925</v>
      </c>
      <c r="C234" t="s">
        <v>926</v>
      </c>
      <c r="D234" t="s">
        <v>530</v>
      </c>
      <c r="E234" t="s">
        <v>927</v>
      </c>
      <c r="F234">
        <v>2013</v>
      </c>
      <c r="G234" t="s">
        <v>175</v>
      </c>
      <c r="I234" t="s">
        <v>541</v>
      </c>
      <c r="K234" t="s">
        <v>178</v>
      </c>
      <c r="L234" t="s">
        <v>177</v>
      </c>
      <c r="M234" t="s">
        <v>1125</v>
      </c>
      <c r="N234" t="s">
        <v>179</v>
      </c>
      <c r="O234" t="s">
        <v>187</v>
      </c>
      <c r="P234" t="s">
        <v>928</v>
      </c>
      <c r="Q234" t="s">
        <v>190</v>
      </c>
      <c r="R234" t="s">
        <v>929</v>
      </c>
      <c r="S234" t="s">
        <v>204</v>
      </c>
      <c r="U234" t="s">
        <v>1117</v>
      </c>
      <c r="X234" t="s">
        <v>269</v>
      </c>
      <c r="AE234" t="s">
        <v>273</v>
      </c>
      <c r="AG234" t="s">
        <v>275</v>
      </c>
      <c r="AI234" t="s">
        <v>345</v>
      </c>
      <c r="AK234">
        <v>5</v>
      </c>
      <c r="AM234">
        <v>30</v>
      </c>
      <c r="AO234" t="s">
        <v>1106</v>
      </c>
      <c r="AP234" t="s">
        <v>281</v>
      </c>
      <c r="AQ234" t="s">
        <v>283</v>
      </c>
      <c r="AS234" t="s">
        <v>1094</v>
      </c>
      <c r="AT234" t="s">
        <v>313</v>
      </c>
      <c r="AU234" t="s">
        <v>689</v>
      </c>
      <c r="AV234" s="30">
        <v>2</v>
      </c>
      <c r="AW234" t="s">
        <v>287</v>
      </c>
      <c r="AX234">
        <v>50</v>
      </c>
      <c r="AZ234" t="s">
        <v>829</v>
      </c>
      <c r="BA234">
        <v>2</v>
      </c>
      <c r="BB234" t="s">
        <v>289</v>
      </c>
      <c r="BC234" t="s">
        <v>243</v>
      </c>
      <c r="BE234" t="s">
        <v>421</v>
      </c>
      <c r="BF234" t="s">
        <v>291</v>
      </c>
      <c r="BG234" t="s">
        <v>297</v>
      </c>
      <c r="BH234" t="s">
        <v>281</v>
      </c>
      <c r="BI234">
        <v>2</v>
      </c>
      <c r="BJ234" t="s">
        <v>315</v>
      </c>
      <c r="BK234" t="s">
        <v>941</v>
      </c>
      <c r="BL234" t="s">
        <v>935</v>
      </c>
      <c r="BM234" t="s">
        <v>936</v>
      </c>
      <c r="BN234" t="str">
        <f t="shared" si="31"/>
        <v>0.silence_0.music</v>
      </c>
      <c r="BO234" t="s">
        <v>267</v>
      </c>
      <c r="BQ234">
        <v>10</v>
      </c>
      <c r="BR234">
        <v>10</v>
      </c>
      <c r="BS234" s="35">
        <v>20.698466780238501</v>
      </c>
      <c r="BT234" s="35">
        <v>9.0971039182282798</v>
      </c>
      <c r="BU234" s="35">
        <v>28.767568492843498</v>
      </c>
      <c r="BV234" s="35"/>
      <c r="BW234" s="35">
        <v>7.7172061328790598</v>
      </c>
      <c r="BX234" s="35">
        <v>2.6575809199318599</v>
      </c>
      <c r="BY234" s="35">
        <v>8.40400877319024</v>
      </c>
      <c r="CB234" t="s">
        <v>268</v>
      </c>
      <c r="CD234" t="s">
        <v>268</v>
      </c>
      <c r="CE234" t="s">
        <v>267</v>
      </c>
      <c r="CF234" t="s">
        <v>309</v>
      </c>
      <c r="CG234" t="s">
        <v>268</v>
      </c>
      <c r="CI234" t="s">
        <v>268</v>
      </c>
      <c r="CK234" s="30">
        <f t="shared" si="27"/>
        <v>2</v>
      </c>
      <c r="CL234">
        <f t="shared" si="28"/>
        <v>8</v>
      </c>
    </row>
    <row r="235" spans="1:90" hidden="1" x14ac:dyDescent="0.35">
      <c r="A235" t="s">
        <v>954</v>
      </c>
      <c r="B235" t="s">
        <v>958</v>
      </c>
      <c r="C235" t="s">
        <v>959</v>
      </c>
      <c r="D235" t="s">
        <v>960</v>
      </c>
      <c r="E235" t="s">
        <v>961</v>
      </c>
      <c r="F235">
        <v>2020</v>
      </c>
      <c r="G235" t="s">
        <v>175</v>
      </c>
      <c r="I235" t="s">
        <v>176</v>
      </c>
      <c r="K235" t="s">
        <v>178</v>
      </c>
      <c r="L235" t="s">
        <v>177</v>
      </c>
      <c r="M235" t="s">
        <v>1125</v>
      </c>
      <c r="N235" t="s">
        <v>190</v>
      </c>
      <c r="O235" t="s">
        <v>190</v>
      </c>
      <c r="P235" t="s">
        <v>963</v>
      </c>
      <c r="Q235" t="s">
        <v>186</v>
      </c>
      <c r="R235" t="s">
        <v>962</v>
      </c>
      <c r="S235" t="s">
        <v>194</v>
      </c>
      <c r="U235" t="s">
        <v>1117</v>
      </c>
      <c r="V235" t="s">
        <v>268</v>
      </c>
      <c r="X235" t="s">
        <v>269</v>
      </c>
      <c r="AE235" t="s">
        <v>273</v>
      </c>
      <c r="AG235" t="s">
        <v>275</v>
      </c>
      <c r="AI235" t="s">
        <v>345</v>
      </c>
      <c r="AK235">
        <v>1</v>
      </c>
      <c r="AM235">
        <v>11</v>
      </c>
      <c r="AO235" t="s">
        <v>1105</v>
      </c>
      <c r="AP235" t="s">
        <v>191</v>
      </c>
      <c r="AQ235" t="s">
        <v>283</v>
      </c>
      <c r="AS235" t="s">
        <v>1094</v>
      </c>
      <c r="AT235">
        <v>60</v>
      </c>
      <c r="AU235" t="s">
        <v>191</v>
      </c>
      <c r="AV235" s="30">
        <v>1</v>
      </c>
      <c r="AW235" t="s">
        <v>287</v>
      </c>
      <c r="AX235" t="s">
        <v>191</v>
      </c>
      <c r="AZ235" t="s">
        <v>829</v>
      </c>
      <c r="BA235">
        <v>0</v>
      </c>
      <c r="BB235" t="s">
        <v>290</v>
      </c>
      <c r="BC235" t="s">
        <v>265</v>
      </c>
      <c r="BE235" t="s">
        <v>559</v>
      </c>
      <c r="BF235" t="s">
        <v>291</v>
      </c>
      <c r="BG235" t="s">
        <v>297</v>
      </c>
      <c r="BH235" t="s">
        <v>191</v>
      </c>
      <c r="BI235">
        <v>0</v>
      </c>
      <c r="BJ235" t="s">
        <v>370</v>
      </c>
      <c r="BK235" t="s">
        <v>965</v>
      </c>
      <c r="BL235" t="s">
        <v>414</v>
      </c>
      <c r="BM235" t="s">
        <v>876</v>
      </c>
      <c r="BN235" t="str">
        <f t="shared" si="31"/>
        <v>control_Classical</v>
      </c>
      <c r="BO235" t="s">
        <v>268</v>
      </c>
      <c r="BQ235">
        <v>12</v>
      </c>
      <c r="BR235">
        <v>11.333</v>
      </c>
      <c r="BS235" s="35">
        <v>62.204724409999997</v>
      </c>
      <c r="BT235" s="35">
        <v>12.44094488</v>
      </c>
      <c r="BU235" s="35">
        <v>43.096697259999999</v>
      </c>
      <c r="BV235" s="35"/>
      <c r="BW235" s="35">
        <v>103.9370079</v>
      </c>
      <c r="BX235" s="35">
        <v>7.5590551179999999</v>
      </c>
      <c r="BY235" s="35">
        <v>25.0705496</v>
      </c>
      <c r="CB235" t="s">
        <v>268</v>
      </c>
      <c r="CD235" t="s">
        <v>267</v>
      </c>
      <c r="CE235" t="s">
        <v>267</v>
      </c>
      <c r="CF235" t="s">
        <v>309</v>
      </c>
      <c r="CG235" t="s">
        <v>268</v>
      </c>
      <c r="CI235" t="s">
        <v>268</v>
      </c>
      <c r="CK235" s="30">
        <f t="shared" si="27"/>
        <v>3</v>
      </c>
      <c r="CL235">
        <f t="shared" si="28"/>
        <v>4</v>
      </c>
    </row>
    <row r="236" spans="1:90" hidden="1" x14ac:dyDescent="0.35">
      <c r="A236" t="s">
        <v>955</v>
      </c>
      <c r="B236" t="s">
        <v>958</v>
      </c>
      <c r="C236" t="s">
        <v>959</v>
      </c>
      <c r="D236" t="s">
        <v>960</v>
      </c>
      <c r="E236" t="s">
        <v>961</v>
      </c>
      <c r="F236">
        <v>2020</v>
      </c>
      <c r="G236" t="s">
        <v>175</v>
      </c>
      <c r="I236" t="s">
        <v>331</v>
      </c>
      <c r="K236" t="s">
        <v>178</v>
      </c>
      <c r="L236" t="s">
        <v>177</v>
      </c>
      <c r="M236" t="s">
        <v>1125</v>
      </c>
      <c r="N236" t="s">
        <v>190</v>
      </c>
      <c r="O236" t="s">
        <v>190</v>
      </c>
      <c r="P236" t="s">
        <v>963</v>
      </c>
      <c r="Q236" t="s">
        <v>186</v>
      </c>
      <c r="R236" t="s">
        <v>962</v>
      </c>
      <c r="S236" t="s">
        <v>194</v>
      </c>
      <c r="U236" t="s">
        <v>1117</v>
      </c>
      <c r="V236" t="s">
        <v>268</v>
      </c>
      <c r="X236" t="s">
        <v>269</v>
      </c>
      <c r="AE236" t="s">
        <v>273</v>
      </c>
      <c r="AG236" t="s">
        <v>275</v>
      </c>
      <c r="AI236" t="s">
        <v>345</v>
      </c>
      <c r="AK236">
        <v>1</v>
      </c>
      <c r="AM236">
        <v>11</v>
      </c>
      <c r="AO236" t="s">
        <v>1105</v>
      </c>
      <c r="AP236" t="s">
        <v>191</v>
      </c>
      <c r="AQ236" t="s">
        <v>873</v>
      </c>
      <c r="AS236" t="s">
        <v>1096</v>
      </c>
      <c r="AT236">
        <v>120</v>
      </c>
      <c r="AU236" t="s">
        <v>191</v>
      </c>
      <c r="AV236" s="30">
        <v>1</v>
      </c>
      <c r="AW236" t="s">
        <v>287</v>
      </c>
      <c r="AX236" t="s">
        <v>191</v>
      </c>
      <c r="AZ236" t="s">
        <v>829</v>
      </c>
      <c r="BA236">
        <v>0</v>
      </c>
      <c r="BB236" t="s">
        <v>290</v>
      </c>
      <c r="BC236" t="s">
        <v>265</v>
      </c>
      <c r="BE236" t="s">
        <v>559</v>
      </c>
      <c r="BF236" t="s">
        <v>291</v>
      </c>
      <c r="BG236" t="s">
        <v>297</v>
      </c>
      <c r="BH236" t="s">
        <v>191</v>
      </c>
      <c r="BI236">
        <v>0</v>
      </c>
      <c r="BJ236" t="s">
        <v>370</v>
      </c>
      <c r="BK236" t="s">
        <v>965</v>
      </c>
      <c r="BL236" t="s">
        <v>414</v>
      </c>
      <c r="BM236" t="s">
        <v>966</v>
      </c>
      <c r="BN236" t="str">
        <f t="shared" si="31"/>
        <v>control_rock</v>
      </c>
      <c r="BO236" t="s">
        <v>268</v>
      </c>
      <c r="BQ236">
        <v>12</v>
      </c>
      <c r="BR236">
        <v>11.333</v>
      </c>
      <c r="BS236" s="35">
        <v>62.204724409999997</v>
      </c>
      <c r="BT236" s="35">
        <v>12.44094488</v>
      </c>
      <c r="BU236" s="35">
        <v>43.096697259999999</v>
      </c>
      <c r="BV236" s="35"/>
      <c r="BW236" s="35">
        <v>75.590551180000006</v>
      </c>
      <c r="BX236" s="35">
        <v>10.70866142</v>
      </c>
      <c r="BY236" s="35">
        <v>35.516611930000003</v>
      </c>
      <c r="CB236" t="s">
        <v>268</v>
      </c>
      <c r="CD236" t="s">
        <v>267</v>
      </c>
      <c r="CE236" t="s">
        <v>267</v>
      </c>
      <c r="CF236" t="s">
        <v>309</v>
      </c>
      <c r="CG236" t="s">
        <v>268</v>
      </c>
      <c r="CI236" t="s">
        <v>268</v>
      </c>
      <c r="CK236" s="30">
        <f t="shared" si="27"/>
        <v>3</v>
      </c>
      <c r="CL236">
        <f t="shared" si="28"/>
        <v>4</v>
      </c>
    </row>
    <row r="237" spans="1:90" hidden="1" x14ac:dyDescent="0.35">
      <c r="A237" t="s">
        <v>956</v>
      </c>
      <c r="B237" t="s">
        <v>958</v>
      </c>
      <c r="C237" t="s">
        <v>959</v>
      </c>
      <c r="D237" t="s">
        <v>960</v>
      </c>
      <c r="E237" t="s">
        <v>961</v>
      </c>
      <c r="F237">
        <v>2020</v>
      </c>
      <c r="G237" t="s">
        <v>175</v>
      </c>
      <c r="I237" t="s">
        <v>332</v>
      </c>
      <c r="K237" t="s">
        <v>178</v>
      </c>
      <c r="L237" t="s">
        <v>177</v>
      </c>
      <c r="M237" t="s">
        <v>1125</v>
      </c>
      <c r="N237" t="s">
        <v>190</v>
      </c>
      <c r="O237" t="s">
        <v>190</v>
      </c>
      <c r="P237" t="s">
        <v>963</v>
      </c>
      <c r="Q237" t="s">
        <v>186</v>
      </c>
      <c r="R237" t="s">
        <v>962</v>
      </c>
      <c r="S237" t="s">
        <v>194</v>
      </c>
      <c r="U237" t="s">
        <v>1117</v>
      </c>
      <c r="V237" t="s">
        <v>268</v>
      </c>
      <c r="X237" t="s">
        <v>269</v>
      </c>
      <c r="AE237" t="s">
        <v>273</v>
      </c>
      <c r="AG237" t="s">
        <v>275</v>
      </c>
      <c r="AI237" t="s">
        <v>345</v>
      </c>
      <c r="AK237">
        <v>1</v>
      </c>
      <c r="AM237">
        <v>11</v>
      </c>
      <c r="AO237" t="s">
        <v>1105</v>
      </c>
      <c r="AP237" t="s">
        <v>191</v>
      </c>
      <c r="AQ237" t="s">
        <v>964</v>
      </c>
      <c r="AS237" t="s">
        <v>1098</v>
      </c>
      <c r="AT237">
        <v>30</v>
      </c>
      <c r="AU237" t="s">
        <v>191</v>
      </c>
      <c r="AV237" s="30">
        <v>1</v>
      </c>
      <c r="AW237" t="s">
        <v>287</v>
      </c>
      <c r="AX237" t="s">
        <v>191</v>
      </c>
      <c r="AZ237" t="s">
        <v>829</v>
      </c>
      <c r="BA237">
        <v>0</v>
      </c>
      <c r="BB237" t="s">
        <v>290</v>
      </c>
      <c r="BC237" t="s">
        <v>265</v>
      </c>
      <c r="BE237" t="s">
        <v>559</v>
      </c>
      <c r="BF237" t="s">
        <v>291</v>
      </c>
      <c r="BG237" t="s">
        <v>297</v>
      </c>
      <c r="BH237" t="s">
        <v>191</v>
      </c>
      <c r="BI237">
        <v>0</v>
      </c>
      <c r="BJ237" t="s">
        <v>370</v>
      </c>
      <c r="BK237" t="s">
        <v>965</v>
      </c>
      <c r="BL237" t="s">
        <v>414</v>
      </c>
      <c r="BM237" t="s">
        <v>964</v>
      </c>
      <c r="BN237" t="str">
        <f t="shared" si="31"/>
        <v>control_sufi</v>
      </c>
      <c r="BO237" t="s">
        <v>268</v>
      </c>
      <c r="BQ237">
        <v>12</v>
      </c>
      <c r="BR237">
        <v>11.333</v>
      </c>
      <c r="BS237" s="35">
        <v>62.204724409999997</v>
      </c>
      <c r="BT237" s="35">
        <v>12.44094488</v>
      </c>
      <c r="BU237" s="35">
        <v>43.096697259999999</v>
      </c>
      <c r="BV237" s="35"/>
      <c r="BW237" s="35">
        <v>53.700787400000003</v>
      </c>
      <c r="BX237" s="35">
        <v>7.0866141730000001</v>
      </c>
      <c r="BY237" s="35">
        <v>23.50364025</v>
      </c>
      <c r="CB237" t="s">
        <v>268</v>
      </c>
      <c r="CD237" t="s">
        <v>267</v>
      </c>
      <c r="CE237" t="s">
        <v>267</v>
      </c>
      <c r="CF237" t="s">
        <v>309</v>
      </c>
      <c r="CG237" t="s">
        <v>268</v>
      </c>
      <c r="CI237" t="s">
        <v>268</v>
      </c>
      <c r="CK237" s="30">
        <f t="shared" si="27"/>
        <v>3</v>
      </c>
      <c r="CL237">
        <f t="shared" si="28"/>
        <v>4</v>
      </c>
    </row>
    <row r="238" spans="1:90" hidden="1" x14ac:dyDescent="0.35">
      <c r="A238" t="s">
        <v>957</v>
      </c>
      <c r="B238" t="s">
        <v>915</v>
      </c>
      <c r="C238" t="s">
        <v>917</v>
      </c>
      <c r="D238" t="s">
        <v>916</v>
      </c>
      <c r="E238" t="s">
        <v>918</v>
      </c>
      <c r="F238">
        <v>2010</v>
      </c>
      <c r="G238" t="s">
        <v>175</v>
      </c>
      <c r="I238" t="s">
        <v>176</v>
      </c>
      <c r="K238" t="s">
        <v>180</v>
      </c>
      <c r="L238" t="s">
        <v>181</v>
      </c>
      <c r="M238" t="s">
        <v>509</v>
      </c>
      <c r="N238" t="s">
        <v>179</v>
      </c>
      <c r="O238" t="s">
        <v>187</v>
      </c>
      <c r="P238" t="s">
        <v>919</v>
      </c>
      <c r="Q238" t="s">
        <v>187</v>
      </c>
      <c r="S238" t="s">
        <v>204</v>
      </c>
      <c r="T238" t="s">
        <v>920</v>
      </c>
      <c r="U238" t="s">
        <v>1117</v>
      </c>
      <c r="V238" t="s">
        <v>268</v>
      </c>
      <c r="X238" t="s">
        <v>269</v>
      </c>
      <c r="AE238" t="s">
        <v>273</v>
      </c>
      <c r="AG238" t="s">
        <v>275</v>
      </c>
      <c r="AI238" t="s">
        <v>345</v>
      </c>
      <c r="AK238">
        <v>6</v>
      </c>
      <c r="AM238">
        <v>21</v>
      </c>
      <c r="AO238" t="s">
        <v>1105</v>
      </c>
      <c r="AP238" t="s">
        <v>282</v>
      </c>
      <c r="AQ238" t="s">
        <v>285</v>
      </c>
      <c r="AS238" t="s">
        <v>190</v>
      </c>
      <c r="AT238" t="s">
        <v>432</v>
      </c>
      <c r="AU238" t="s">
        <v>433</v>
      </c>
      <c r="AV238" s="30">
        <v>2</v>
      </c>
      <c r="AW238" t="s">
        <v>287</v>
      </c>
      <c r="AX238">
        <v>40</v>
      </c>
      <c r="AZ238" t="s">
        <v>829</v>
      </c>
      <c r="BA238">
        <v>2</v>
      </c>
      <c r="BB238" t="s">
        <v>289</v>
      </c>
      <c r="BC238" t="s">
        <v>243</v>
      </c>
      <c r="BE238" t="s">
        <v>434</v>
      </c>
      <c r="BF238" t="s">
        <v>293</v>
      </c>
      <c r="BG238" t="s">
        <v>369</v>
      </c>
      <c r="BH238" t="s">
        <v>281</v>
      </c>
      <c r="BI238">
        <v>2</v>
      </c>
      <c r="BJ238" t="s">
        <v>370</v>
      </c>
      <c r="BK238" t="s">
        <v>921</v>
      </c>
      <c r="BL238" t="s">
        <v>922</v>
      </c>
      <c r="BM238" t="s">
        <v>923</v>
      </c>
      <c r="BN238" t="str">
        <f t="shared" ref="BN238:BN246" si="32">_xlfn.CONCAT(BL238:BM238)</f>
        <v>wild.ambient_wild.music</v>
      </c>
      <c r="BO238" t="s">
        <v>267</v>
      </c>
      <c r="BQ238">
        <v>7.5</v>
      </c>
      <c r="BR238">
        <v>7.5</v>
      </c>
      <c r="BS238" s="35">
        <v>41.53094463</v>
      </c>
      <c r="BT238" s="35">
        <v>1.465798046</v>
      </c>
      <c r="BU238" s="35">
        <v>5.285010013</v>
      </c>
      <c r="BV238" s="35"/>
      <c r="BW238" s="35">
        <v>40.635179149999999</v>
      </c>
      <c r="BX238" s="35">
        <v>1.628664495</v>
      </c>
      <c r="BY238" s="35">
        <v>5.872233348</v>
      </c>
      <c r="CB238" t="s">
        <v>268</v>
      </c>
      <c r="CD238" t="s">
        <v>267</v>
      </c>
      <c r="CE238" t="s">
        <v>267</v>
      </c>
      <c r="CF238" t="s">
        <v>309</v>
      </c>
      <c r="CG238" t="s">
        <v>268</v>
      </c>
      <c r="CI238" t="s">
        <v>268</v>
      </c>
      <c r="CK238" s="30">
        <f t="shared" si="27"/>
        <v>3</v>
      </c>
      <c r="CL238">
        <f t="shared" si="28"/>
        <v>9</v>
      </c>
    </row>
    <row r="239" spans="1:90" hidden="1" x14ac:dyDescent="0.35">
      <c r="A239" t="s">
        <v>967</v>
      </c>
      <c r="B239" t="s">
        <v>915</v>
      </c>
      <c r="C239" t="s">
        <v>917</v>
      </c>
      <c r="D239" t="s">
        <v>916</v>
      </c>
      <c r="E239" t="s">
        <v>918</v>
      </c>
      <c r="F239">
        <v>2010</v>
      </c>
      <c r="G239" t="s">
        <v>344</v>
      </c>
      <c r="I239" t="s">
        <v>331</v>
      </c>
      <c r="K239" t="s">
        <v>180</v>
      </c>
      <c r="L239" t="s">
        <v>181</v>
      </c>
      <c r="M239" t="s">
        <v>509</v>
      </c>
      <c r="N239" t="s">
        <v>179</v>
      </c>
      <c r="O239" t="s">
        <v>187</v>
      </c>
      <c r="P239" t="s">
        <v>919</v>
      </c>
      <c r="Q239" t="s">
        <v>187</v>
      </c>
      <c r="S239" t="s">
        <v>204</v>
      </c>
      <c r="T239" t="s">
        <v>920</v>
      </c>
      <c r="U239" t="s">
        <v>1117</v>
      </c>
      <c r="V239" t="s">
        <v>268</v>
      </c>
      <c r="X239" t="s">
        <v>269</v>
      </c>
      <c r="AE239" t="s">
        <v>273</v>
      </c>
      <c r="AG239" t="s">
        <v>275</v>
      </c>
      <c r="AI239" t="s">
        <v>345</v>
      </c>
      <c r="AK239">
        <v>6</v>
      </c>
      <c r="AM239">
        <v>21</v>
      </c>
      <c r="AO239" t="s">
        <v>1105</v>
      </c>
      <c r="AP239" t="s">
        <v>282</v>
      </c>
      <c r="AQ239" t="s">
        <v>285</v>
      </c>
      <c r="AS239" t="s">
        <v>190</v>
      </c>
      <c r="AT239" t="s">
        <v>432</v>
      </c>
      <c r="AU239" t="s">
        <v>433</v>
      </c>
      <c r="AV239" s="30">
        <v>2</v>
      </c>
      <c r="AW239" t="s">
        <v>287</v>
      </c>
      <c r="AX239">
        <v>40</v>
      </c>
      <c r="AZ239" t="s">
        <v>829</v>
      </c>
      <c r="BA239">
        <v>2</v>
      </c>
      <c r="BB239" t="s">
        <v>289</v>
      </c>
      <c r="BC239" t="s">
        <v>243</v>
      </c>
      <c r="BE239" t="s">
        <v>398</v>
      </c>
      <c r="BF239" t="s">
        <v>292</v>
      </c>
      <c r="BG239" t="s">
        <v>298</v>
      </c>
      <c r="BH239" t="s">
        <v>281</v>
      </c>
      <c r="BI239">
        <v>2</v>
      </c>
      <c r="BJ239" t="s">
        <v>370</v>
      </c>
      <c r="BK239" t="s">
        <v>970</v>
      </c>
      <c r="BL239" t="s">
        <v>922</v>
      </c>
      <c r="BM239" t="s">
        <v>923</v>
      </c>
      <c r="BN239" t="str">
        <f t="shared" si="32"/>
        <v>wild.ambient_wild.music</v>
      </c>
      <c r="BO239" t="s">
        <v>267</v>
      </c>
      <c r="BQ239">
        <v>7.5</v>
      </c>
      <c r="BR239">
        <v>7.5</v>
      </c>
      <c r="BS239" s="35">
        <v>18.143812709999999</v>
      </c>
      <c r="BT239" s="35">
        <v>2.090301003</v>
      </c>
      <c r="BU239" s="35">
        <v>7.5366874490000004</v>
      </c>
      <c r="BV239" s="35"/>
      <c r="BW239" s="35">
        <v>20.317725750000001</v>
      </c>
      <c r="BX239" s="35">
        <v>1.5050167219999999</v>
      </c>
      <c r="BY239" s="35">
        <v>5.426414963</v>
      </c>
      <c r="CB239" t="s">
        <v>268</v>
      </c>
      <c r="CD239" t="s">
        <v>267</v>
      </c>
      <c r="CE239" t="s">
        <v>267</v>
      </c>
      <c r="CF239" t="s">
        <v>309</v>
      </c>
      <c r="CG239" t="s">
        <v>268</v>
      </c>
      <c r="CI239" t="s">
        <v>268</v>
      </c>
      <c r="CK239" s="30">
        <f t="shared" si="27"/>
        <v>3</v>
      </c>
      <c r="CL239">
        <f t="shared" si="28"/>
        <v>9</v>
      </c>
    </row>
    <row r="240" spans="1:90" hidden="1" x14ac:dyDescent="0.35">
      <c r="A240" t="s">
        <v>968</v>
      </c>
      <c r="B240" t="s">
        <v>915</v>
      </c>
      <c r="C240" t="s">
        <v>917</v>
      </c>
      <c r="D240" t="s">
        <v>916</v>
      </c>
      <c r="E240" t="s">
        <v>918</v>
      </c>
      <c r="F240">
        <v>2010</v>
      </c>
      <c r="G240" t="s">
        <v>175</v>
      </c>
      <c r="I240" t="s">
        <v>176</v>
      </c>
      <c r="K240" t="s">
        <v>180</v>
      </c>
      <c r="L240" t="s">
        <v>181</v>
      </c>
      <c r="M240" t="s">
        <v>509</v>
      </c>
      <c r="N240" t="s">
        <v>179</v>
      </c>
      <c r="O240" t="s">
        <v>187</v>
      </c>
      <c r="P240" t="s">
        <v>919</v>
      </c>
      <c r="Q240" t="s">
        <v>187</v>
      </c>
      <c r="S240" t="s">
        <v>204</v>
      </c>
      <c r="T240" t="s">
        <v>920</v>
      </c>
      <c r="U240" t="s">
        <v>1117</v>
      </c>
      <c r="V240" t="s">
        <v>268</v>
      </c>
      <c r="X240" t="s">
        <v>269</v>
      </c>
      <c r="AE240" t="s">
        <v>273</v>
      </c>
      <c r="AG240" t="s">
        <v>275</v>
      </c>
      <c r="AI240" t="s">
        <v>345</v>
      </c>
      <c r="AK240">
        <v>6</v>
      </c>
      <c r="AM240">
        <v>21</v>
      </c>
      <c r="AO240" t="s">
        <v>1105</v>
      </c>
      <c r="AP240" t="s">
        <v>282</v>
      </c>
      <c r="AQ240" t="s">
        <v>285</v>
      </c>
      <c r="AS240" t="s">
        <v>190</v>
      </c>
      <c r="AT240" t="s">
        <v>432</v>
      </c>
      <c r="AU240" t="s">
        <v>433</v>
      </c>
      <c r="AV240" s="30">
        <v>2</v>
      </c>
      <c r="AW240" t="s">
        <v>288</v>
      </c>
      <c r="AX240">
        <v>60</v>
      </c>
      <c r="AZ240" t="s">
        <v>433</v>
      </c>
      <c r="BA240">
        <v>2</v>
      </c>
      <c r="BB240" t="s">
        <v>289</v>
      </c>
      <c r="BC240" t="s">
        <v>243</v>
      </c>
      <c r="BE240" t="s">
        <v>434</v>
      </c>
      <c r="BF240" t="s">
        <v>293</v>
      </c>
      <c r="BG240" t="s">
        <v>369</v>
      </c>
      <c r="BH240" t="s">
        <v>281</v>
      </c>
      <c r="BI240">
        <v>2</v>
      </c>
      <c r="BJ240" t="s">
        <v>370</v>
      </c>
      <c r="BK240" t="s">
        <v>921</v>
      </c>
      <c r="BL240" t="s">
        <v>924</v>
      </c>
      <c r="BM240" t="s">
        <v>923</v>
      </c>
      <c r="BN240" t="str">
        <f t="shared" si="32"/>
        <v>wild.wnwild.music</v>
      </c>
      <c r="BO240" t="s">
        <v>267</v>
      </c>
      <c r="BQ240">
        <v>7.5</v>
      </c>
      <c r="BR240">
        <v>7.5</v>
      </c>
      <c r="BS240" s="35">
        <v>39.169381110000003</v>
      </c>
      <c r="BT240" s="35">
        <v>3.7459283390000002</v>
      </c>
      <c r="BU240" s="35">
        <v>13.506136700000001</v>
      </c>
      <c r="BV240" s="35"/>
      <c r="BW240" s="35">
        <v>40.635179149999999</v>
      </c>
      <c r="BX240" s="35">
        <v>1.628664495</v>
      </c>
      <c r="BY240" s="35">
        <v>5.872233348</v>
      </c>
      <c r="CB240" t="s">
        <v>268</v>
      </c>
      <c r="CD240" t="s">
        <v>267</v>
      </c>
      <c r="CE240" t="s">
        <v>267</v>
      </c>
      <c r="CF240" t="s">
        <v>309</v>
      </c>
      <c r="CG240" t="s">
        <v>268</v>
      </c>
      <c r="CI240" t="s">
        <v>268</v>
      </c>
      <c r="CK240" s="30">
        <f t="shared" si="27"/>
        <v>3</v>
      </c>
      <c r="CL240">
        <f t="shared" si="28"/>
        <v>9</v>
      </c>
    </row>
    <row r="241" spans="1:90" hidden="1" x14ac:dyDescent="0.35">
      <c r="A241" t="s">
        <v>969</v>
      </c>
      <c r="B241" t="s">
        <v>915</v>
      </c>
      <c r="C241" t="s">
        <v>917</v>
      </c>
      <c r="D241" t="s">
        <v>916</v>
      </c>
      <c r="E241" t="s">
        <v>918</v>
      </c>
      <c r="F241">
        <v>2010</v>
      </c>
      <c r="G241" t="s">
        <v>344</v>
      </c>
      <c r="I241" t="s">
        <v>331</v>
      </c>
      <c r="K241" t="s">
        <v>180</v>
      </c>
      <c r="L241" t="s">
        <v>181</v>
      </c>
      <c r="M241" t="s">
        <v>509</v>
      </c>
      <c r="N241" t="s">
        <v>179</v>
      </c>
      <c r="O241" t="s">
        <v>187</v>
      </c>
      <c r="P241" t="s">
        <v>919</v>
      </c>
      <c r="Q241" t="s">
        <v>187</v>
      </c>
      <c r="S241" t="s">
        <v>204</v>
      </c>
      <c r="T241" t="s">
        <v>920</v>
      </c>
      <c r="U241" t="s">
        <v>1117</v>
      </c>
      <c r="V241" t="s">
        <v>268</v>
      </c>
      <c r="X241" t="s">
        <v>269</v>
      </c>
      <c r="AE241" t="s">
        <v>273</v>
      </c>
      <c r="AG241" t="s">
        <v>275</v>
      </c>
      <c r="AI241" t="s">
        <v>345</v>
      </c>
      <c r="AK241">
        <v>6</v>
      </c>
      <c r="AM241">
        <v>21</v>
      </c>
      <c r="AO241" t="s">
        <v>1105</v>
      </c>
      <c r="AP241" t="s">
        <v>282</v>
      </c>
      <c r="AQ241" t="s">
        <v>285</v>
      </c>
      <c r="AS241" t="s">
        <v>190</v>
      </c>
      <c r="AT241" t="s">
        <v>432</v>
      </c>
      <c r="AU241" t="s">
        <v>433</v>
      </c>
      <c r="AV241" s="30">
        <v>2</v>
      </c>
      <c r="AW241" t="s">
        <v>288</v>
      </c>
      <c r="AX241">
        <v>60</v>
      </c>
      <c r="AZ241" t="s">
        <v>433</v>
      </c>
      <c r="BA241">
        <v>2</v>
      </c>
      <c r="BB241" t="s">
        <v>289</v>
      </c>
      <c r="BC241" t="s">
        <v>243</v>
      </c>
      <c r="BE241" t="s">
        <v>398</v>
      </c>
      <c r="BF241" t="s">
        <v>292</v>
      </c>
      <c r="BG241" t="s">
        <v>298</v>
      </c>
      <c r="BH241" t="s">
        <v>281</v>
      </c>
      <c r="BI241">
        <v>2</v>
      </c>
      <c r="BJ241" t="s">
        <v>370</v>
      </c>
      <c r="BK241" t="s">
        <v>970</v>
      </c>
      <c r="BL241" t="s">
        <v>924</v>
      </c>
      <c r="BM241" t="s">
        <v>923</v>
      </c>
      <c r="BN241" t="str">
        <f t="shared" si="32"/>
        <v>wild.wnwild.music</v>
      </c>
      <c r="BO241" t="s">
        <v>267</v>
      </c>
      <c r="BQ241">
        <v>7.5</v>
      </c>
      <c r="BR241">
        <v>7.5</v>
      </c>
      <c r="BS241" s="35">
        <v>17.642140470000001</v>
      </c>
      <c r="BT241" s="35">
        <v>1.923076923</v>
      </c>
      <c r="BU241" s="35">
        <v>6.9337524530000003</v>
      </c>
      <c r="BV241" s="35"/>
      <c r="BW241" s="35">
        <v>20.317725750000001</v>
      </c>
      <c r="BX241" s="35">
        <v>1.5050167219999999</v>
      </c>
      <c r="BY241" s="35">
        <v>5.426414963</v>
      </c>
      <c r="CB241" t="s">
        <v>268</v>
      </c>
      <c r="CD241" t="s">
        <v>267</v>
      </c>
      <c r="CE241" t="s">
        <v>267</v>
      </c>
      <c r="CF241" t="s">
        <v>309</v>
      </c>
      <c r="CG241" t="s">
        <v>268</v>
      </c>
      <c r="CI241" t="s">
        <v>268</v>
      </c>
      <c r="CK241" s="30">
        <f t="shared" si="27"/>
        <v>3</v>
      </c>
      <c r="CL241">
        <f t="shared" si="28"/>
        <v>9</v>
      </c>
    </row>
    <row r="242" spans="1:90" hidden="1" x14ac:dyDescent="0.35">
      <c r="A242" t="s">
        <v>974</v>
      </c>
      <c r="B242" t="s">
        <v>915</v>
      </c>
      <c r="C242" t="s">
        <v>917</v>
      </c>
      <c r="D242" t="s">
        <v>916</v>
      </c>
      <c r="E242" t="s">
        <v>918</v>
      </c>
      <c r="F242">
        <v>2010</v>
      </c>
      <c r="G242" t="s">
        <v>175</v>
      </c>
      <c r="I242" t="s">
        <v>332</v>
      </c>
      <c r="K242" t="s">
        <v>180</v>
      </c>
      <c r="L242" t="s">
        <v>181</v>
      </c>
      <c r="M242" t="s">
        <v>509</v>
      </c>
      <c r="N242" t="s">
        <v>179</v>
      </c>
      <c r="O242" t="s">
        <v>187</v>
      </c>
      <c r="P242" t="s">
        <v>919</v>
      </c>
      <c r="Q242" t="s">
        <v>187</v>
      </c>
      <c r="S242" t="s">
        <v>204</v>
      </c>
      <c r="T242" t="s">
        <v>920</v>
      </c>
      <c r="U242" t="s">
        <v>1117</v>
      </c>
      <c r="V242" t="s">
        <v>268</v>
      </c>
      <c r="X242" t="s">
        <v>269</v>
      </c>
      <c r="AE242" t="s">
        <v>273</v>
      </c>
      <c r="AG242" t="s">
        <v>275</v>
      </c>
      <c r="AI242" t="s">
        <v>345</v>
      </c>
      <c r="AK242">
        <v>6</v>
      </c>
      <c r="AM242">
        <v>21</v>
      </c>
      <c r="AO242" t="s">
        <v>1105</v>
      </c>
      <c r="AP242" t="s">
        <v>282</v>
      </c>
      <c r="AQ242" t="s">
        <v>285</v>
      </c>
      <c r="AS242" t="s">
        <v>190</v>
      </c>
      <c r="AT242" t="s">
        <v>432</v>
      </c>
      <c r="AU242" t="s">
        <v>433</v>
      </c>
      <c r="AV242" s="30">
        <v>2</v>
      </c>
      <c r="AW242" t="s">
        <v>287</v>
      </c>
      <c r="AX242">
        <v>40</v>
      </c>
      <c r="AZ242" t="s">
        <v>829</v>
      </c>
      <c r="BA242">
        <v>2</v>
      </c>
      <c r="BB242" t="s">
        <v>289</v>
      </c>
      <c r="BC242" t="s">
        <v>239</v>
      </c>
      <c r="BE242" t="s">
        <v>336</v>
      </c>
      <c r="BF242" t="s">
        <v>292</v>
      </c>
      <c r="BG242" t="s">
        <v>298</v>
      </c>
      <c r="BH242" t="s">
        <v>281</v>
      </c>
      <c r="BI242">
        <v>2</v>
      </c>
      <c r="BJ242" t="s">
        <v>315</v>
      </c>
      <c r="BK242" t="s">
        <v>972</v>
      </c>
      <c r="BL242" t="s">
        <v>922</v>
      </c>
      <c r="BM242" t="s">
        <v>923</v>
      </c>
      <c r="BN242" t="str">
        <f t="shared" si="32"/>
        <v>wild.ambient_wild.music</v>
      </c>
      <c r="BO242" t="s">
        <v>267</v>
      </c>
      <c r="BQ242">
        <v>7.5</v>
      </c>
      <c r="BR242">
        <v>7.5</v>
      </c>
      <c r="BS242" s="35">
        <v>26.5940902</v>
      </c>
      <c r="BT242" s="35">
        <v>2.0217729389999999</v>
      </c>
      <c r="BU242" s="35">
        <v>7.289606</v>
      </c>
      <c r="BV242" s="35"/>
      <c r="BW242" s="35">
        <v>28.460342149999999</v>
      </c>
      <c r="BX242" s="35">
        <v>2.0217729389999999</v>
      </c>
      <c r="BY242" s="35">
        <v>7.289606</v>
      </c>
      <c r="CB242" t="s">
        <v>268</v>
      </c>
      <c r="CD242" t="s">
        <v>267</v>
      </c>
      <c r="CE242" t="s">
        <v>267</v>
      </c>
      <c r="CF242" t="s">
        <v>309</v>
      </c>
      <c r="CG242" t="s">
        <v>268</v>
      </c>
      <c r="CI242" t="s">
        <v>268</v>
      </c>
      <c r="CK242" s="30">
        <f t="shared" si="27"/>
        <v>3</v>
      </c>
      <c r="CL242">
        <f t="shared" si="28"/>
        <v>9</v>
      </c>
    </row>
    <row r="243" spans="1:90" hidden="1" x14ac:dyDescent="0.35">
      <c r="A243" t="s">
        <v>975</v>
      </c>
      <c r="B243" t="s">
        <v>915</v>
      </c>
      <c r="C243" t="s">
        <v>917</v>
      </c>
      <c r="D243" t="s">
        <v>916</v>
      </c>
      <c r="E243" t="s">
        <v>918</v>
      </c>
      <c r="F243">
        <v>2010</v>
      </c>
      <c r="G243" t="s">
        <v>344</v>
      </c>
      <c r="I243" t="s">
        <v>333</v>
      </c>
      <c r="K243" t="s">
        <v>180</v>
      </c>
      <c r="L243" t="s">
        <v>181</v>
      </c>
      <c r="M243" t="s">
        <v>509</v>
      </c>
      <c r="N243" t="s">
        <v>179</v>
      </c>
      <c r="O243" t="s">
        <v>187</v>
      </c>
      <c r="P243" t="s">
        <v>919</v>
      </c>
      <c r="Q243" t="s">
        <v>187</v>
      </c>
      <c r="S243" t="s">
        <v>204</v>
      </c>
      <c r="T243" t="s">
        <v>920</v>
      </c>
      <c r="U243" t="s">
        <v>1117</v>
      </c>
      <c r="V243" t="s">
        <v>268</v>
      </c>
      <c r="X243" t="s">
        <v>269</v>
      </c>
      <c r="AE243" t="s">
        <v>273</v>
      </c>
      <c r="AG243" t="s">
        <v>275</v>
      </c>
      <c r="AI243" t="s">
        <v>345</v>
      </c>
      <c r="AK243">
        <v>6</v>
      </c>
      <c r="AM243">
        <v>21</v>
      </c>
      <c r="AO243" t="s">
        <v>1105</v>
      </c>
      <c r="AP243" t="s">
        <v>282</v>
      </c>
      <c r="AQ243" t="s">
        <v>285</v>
      </c>
      <c r="AS243" t="s">
        <v>190</v>
      </c>
      <c r="AT243" t="s">
        <v>432</v>
      </c>
      <c r="AU243" t="s">
        <v>433</v>
      </c>
      <c r="AV243" s="30">
        <v>2</v>
      </c>
      <c r="AW243" t="s">
        <v>287</v>
      </c>
      <c r="AX243">
        <v>40</v>
      </c>
      <c r="AZ243" t="s">
        <v>829</v>
      </c>
      <c r="BA243">
        <v>2</v>
      </c>
      <c r="BB243" t="s">
        <v>289</v>
      </c>
      <c r="BC243" t="s">
        <v>239</v>
      </c>
      <c r="BE243" t="s">
        <v>336</v>
      </c>
      <c r="BF243" t="s">
        <v>292</v>
      </c>
      <c r="BG243" t="s">
        <v>298</v>
      </c>
      <c r="BH243" t="s">
        <v>281</v>
      </c>
      <c r="BI243">
        <v>2</v>
      </c>
      <c r="BJ243" t="s">
        <v>315</v>
      </c>
      <c r="BK243" t="s">
        <v>973</v>
      </c>
      <c r="BL243" t="s">
        <v>922</v>
      </c>
      <c r="BM243" t="s">
        <v>923</v>
      </c>
      <c r="BN243" t="str">
        <f t="shared" si="32"/>
        <v>wild.ambient_wild.music</v>
      </c>
      <c r="BO243" t="s">
        <v>267</v>
      </c>
      <c r="BQ243">
        <v>7.5</v>
      </c>
      <c r="BR243">
        <v>7.5</v>
      </c>
      <c r="BS243" s="35">
        <v>27.409162720000001</v>
      </c>
      <c r="BT243" s="35">
        <v>2.1327014219999998</v>
      </c>
      <c r="BU243" s="35">
        <v>7.6895643319999998</v>
      </c>
      <c r="BV243" s="35"/>
      <c r="BW243" s="35">
        <v>30.568720379999998</v>
      </c>
      <c r="BX243" s="35">
        <v>1.1058451819999999</v>
      </c>
      <c r="BY243" s="35">
        <v>3.9871815050000001</v>
      </c>
      <c r="CB243" t="s">
        <v>268</v>
      </c>
      <c r="CD243" t="s">
        <v>267</v>
      </c>
      <c r="CE243" t="s">
        <v>267</v>
      </c>
      <c r="CF243" t="s">
        <v>309</v>
      </c>
      <c r="CG243" t="s">
        <v>268</v>
      </c>
      <c r="CI243" t="s">
        <v>268</v>
      </c>
      <c r="CK243" s="30">
        <f t="shared" si="27"/>
        <v>3</v>
      </c>
      <c r="CL243">
        <f t="shared" si="28"/>
        <v>9</v>
      </c>
    </row>
    <row r="244" spans="1:90" hidden="1" x14ac:dyDescent="0.35">
      <c r="A244" t="s">
        <v>976</v>
      </c>
      <c r="B244" t="s">
        <v>915</v>
      </c>
      <c r="C244" t="s">
        <v>917</v>
      </c>
      <c r="D244" t="s">
        <v>916</v>
      </c>
      <c r="E244" t="s">
        <v>918</v>
      </c>
      <c r="F244">
        <v>2010</v>
      </c>
      <c r="G244" t="s">
        <v>175</v>
      </c>
      <c r="I244" t="s">
        <v>332</v>
      </c>
      <c r="K244" t="s">
        <v>180</v>
      </c>
      <c r="L244" t="s">
        <v>181</v>
      </c>
      <c r="M244" t="s">
        <v>509</v>
      </c>
      <c r="N244" t="s">
        <v>179</v>
      </c>
      <c r="O244" t="s">
        <v>187</v>
      </c>
      <c r="P244" t="s">
        <v>919</v>
      </c>
      <c r="Q244" t="s">
        <v>187</v>
      </c>
      <c r="S244" t="s">
        <v>204</v>
      </c>
      <c r="T244" t="s">
        <v>920</v>
      </c>
      <c r="U244" t="s">
        <v>1117</v>
      </c>
      <c r="V244" t="s">
        <v>268</v>
      </c>
      <c r="X244" t="s">
        <v>269</v>
      </c>
      <c r="AE244" t="s">
        <v>273</v>
      </c>
      <c r="AG244" t="s">
        <v>275</v>
      </c>
      <c r="AI244" t="s">
        <v>345</v>
      </c>
      <c r="AK244">
        <v>6</v>
      </c>
      <c r="AM244">
        <v>21</v>
      </c>
      <c r="AO244" t="s">
        <v>1105</v>
      </c>
      <c r="AP244" t="s">
        <v>282</v>
      </c>
      <c r="AQ244" t="s">
        <v>285</v>
      </c>
      <c r="AS244" t="s">
        <v>190</v>
      </c>
      <c r="AT244" t="s">
        <v>432</v>
      </c>
      <c r="AU244" t="s">
        <v>433</v>
      </c>
      <c r="AV244" s="30">
        <v>2</v>
      </c>
      <c r="AW244" t="s">
        <v>288</v>
      </c>
      <c r="AX244">
        <v>60</v>
      </c>
      <c r="AZ244" t="s">
        <v>433</v>
      </c>
      <c r="BA244">
        <v>2</v>
      </c>
      <c r="BB244" t="s">
        <v>289</v>
      </c>
      <c r="BC244" t="s">
        <v>239</v>
      </c>
      <c r="BE244" t="s">
        <v>314</v>
      </c>
      <c r="BF244" t="s">
        <v>292</v>
      </c>
      <c r="BG244" t="s">
        <v>298</v>
      </c>
      <c r="BH244" t="s">
        <v>281</v>
      </c>
      <c r="BI244">
        <v>2</v>
      </c>
      <c r="BJ244" t="s">
        <v>315</v>
      </c>
      <c r="BK244" t="s">
        <v>972</v>
      </c>
      <c r="BL244" t="s">
        <v>924</v>
      </c>
      <c r="BM244" t="s">
        <v>923</v>
      </c>
      <c r="BN244" t="str">
        <f t="shared" si="32"/>
        <v>wild.wnwild.music</v>
      </c>
      <c r="BO244" t="s">
        <v>267</v>
      </c>
      <c r="BQ244">
        <v>7.5</v>
      </c>
      <c r="BR244">
        <v>7.5</v>
      </c>
      <c r="BS244" s="35">
        <v>24.027993779999999</v>
      </c>
      <c r="BT244" s="35">
        <v>2.9548989109999999</v>
      </c>
      <c r="BU244" s="35">
        <v>10.654039539999999</v>
      </c>
      <c r="BV244" s="35"/>
      <c r="BW244" s="35">
        <v>28.460342149999999</v>
      </c>
      <c r="BX244" s="35">
        <v>2.0217729389999999</v>
      </c>
      <c r="BY244" s="35">
        <v>7.289606</v>
      </c>
      <c r="CB244" t="s">
        <v>268</v>
      </c>
      <c r="CD244" t="s">
        <v>267</v>
      </c>
      <c r="CE244" t="s">
        <v>267</v>
      </c>
      <c r="CF244" t="s">
        <v>309</v>
      </c>
      <c r="CG244" t="s">
        <v>268</v>
      </c>
      <c r="CI244" t="s">
        <v>268</v>
      </c>
      <c r="CK244" s="30">
        <f t="shared" si="27"/>
        <v>3</v>
      </c>
      <c r="CL244">
        <f t="shared" si="28"/>
        <v>9</v>
      </c>
    </row>
    <row r="245" spans="1:90" hidden="1" x14ac:dyDescent="0.35">
      <c r="A245" t="s">
        <v>977</v>
      </c>
      <c r="B245" t="s">
        <v>915</v>
      </c>
      <c r="C245" t="s">
        <v>917</v>
      </c>
      <c r="D245" t="s">
        <v>916</v>
      </c>
      <c r="E245" t="s">
        <v>918</v>
      </c>
      <c r="F245">
        <v>2010</v>
      </c>
      <c r="G245" t="s">
        <v>344</v>
      </c>
      <c r="I245" t="s">
        <v>333</v>
      </c>
      <c r="K245" t="s">
        <v>180</v>
      </c>
      <c r="L245" t="s">
        <v>181</v>
      </c>
      <c r="M245" t="s">
        <v>509</v>
      </c>
      <c r="N245" t="s">
        <v>179</v>
      </c>
      <c r="O245" t="s">
        <v>187</v>
      </c>
      <c r="P245" t="s">
        <v>919</v>
      </c>
      <c r="Q245" t="s">
        <v>187</v>
      </c>
      <c r="S245" t="s">
        <v>204</v>
      </c>
      <c r="T245" t="s">
        <v>920</v>
      </c>
      <c r="U245" t="s">
        <v>1117</v>
      </c>
      <c r="V245" t="s">
        <v>268</v>
      </c>
      <c r="X245" t="s">
        <v>269</v>
      </c>
      <c r="AE245" t="s">
        <v>273</v>
      </c>
      <c r="AG245" t="s">
        <v>275</v>
      </c>
      <c r="AI245" t="s">
        <v>345</v>
      </c>
      <c r="AK245">
        <v>6</v>
      </c>
      <c r="AM245">
        <v>21</v>
      </c>
      <c r="AO245" t="s">
        <v>1105</v>
      </c>
      <c r="AP245" t="s">
        <v>282</v>
      </c>
      <c r="AQ245" t="s">
        <v>285</v>
      </c>
      <c r="AS245" t="s">
        <v>190</v>
      </c>
      <c r="AT245" t="s">
        <v>432</v>
      </c>
      <c r="AU245" t="s">
        <v>433</v>
      </c>
      <c r="AV245" s="30">
        <v>2</v>
      </c>
      <c r="AW245" t="s">
        <v>288</v>
      </c>
      <c r="AX245">
        <v>60</v>
      </c>
      <c r="AZ245" t="s">
        <v>433</v>
      </c>
      <c r="BA245">
        <v>2</v>
      </c>
      <c r="BB245" t="s">
        <v>289</v>
      </c>
      <c r="BC245" t="s">
        <v>239</v>
      </c>
      <c r="BE245" t="s">
        <v>314</v>
      </c>
      <c r="BF245" t="s">
        <v>292</v>
      </c>
      <c r="BG245" t="s">
        <v>298</v>
      </c>
      <c r="BH245" t="s">
        <v>281</v>
      </c>
      <c r="BI245">
        <v>2</v>
      </c>
      <c r="BJ245" t="s">
        <v>315</v>
      </c>
      <c r="BK245" t="s">
        <v>973</v>
      </c>
      <c r="BL245" t="s">
        <v>924</v>
      </c>
      <c r="BM245" t="s">
        <v>923</v>
      </c>
      <c r="BN245" t="str">
        <f t="shared" si="32"/>
        <v>wild.wnwild.music</v>
      </c>
      <c r="BO245" t="s">
        <v>267</v>
      </c>
      <c r="BQ245">
        <v>7.5</v>
      </c>
      <c r="BR245">
        <v>7.5</v>
      </c>
      <c r="BS245" s="35">
        <v>25.35545024</v>
      </c>
      <c r="BT245" s="35">
        <v>2.6066350709999999</v>
      </c>
      <c r="BU245" s="35">
        <v>9.3983564049999995</v>
      </c>
      <c r="BV245" s="35"/>
      <c r="BW245" s="35">
        <v>30.568720379999998</v>
      </c>
      <c r="BX245" s="35">
        <v>1.1058451819999999</v>
      </c>
      <c r="BY245" s="35">
        <v>3.9871815050000001</v>
      </c>
      <c r="CB245" t="s">
        <v>268</v>
      </c>
      <c r="CD245" t="s">
        <v>267</v>
      </c>
      <c r="CE245" t="s">
        <v>267</v>
      </c>
      <c r="CF245" t="s">
        <v>309</v>
      </c>
      <c r="CG245" t="s">
        <v>268</v>
      </c>
      <c r="CI245" t="s">
        <v>268</v>
      </c>
      <c r="CK245" s="30">
        <f t="shared" si="27"/>
        <v>3</v>
      </c>
      <c r="CL245">
        <f t="shared" si="28"/>
        <v>9</v>
      </c>
    </row>
    <row r="246" spans="1:90" hidden="1" x14ac:dyDescent="0.35">
      <c r="A246" t="s">
        <v>1025</v>
      </c>
      <c r="B246" t="s">
        <v>978</v>
      </c>
      <c r="C246" t="s">
        <v>980</v>
      </c>
      <c r="D246" t="s">
        <v>979</v>
      </c>
      <c r="E246" t="s">
        <v>981</v>
      </c>
      <c r="F246">
        <v>2007</v>
      </c>
      <c r="G246" t="s">
        <v>175</v>
      </c>
      <c r="I246" t="s">
        <v>176</v>
      </c>
      <c r="K246" t="s">
        <v>180</v>
      </c>
      <c r="L246" t="s">
        <v>181</v>
      </c>
      <c r="M246" t="s">
        <v>982</v>
      </c>
      <c r="N246" t="s">
        <v>193</v>
      </c>
      <c r="O246" t="s">
        <v>192</v>
      </c>
      <c r="Q246" t="s">
        <v>192</v>
      </c>
      <c r="S246" t="s">
        <v>194</v>
      </c>
      <c r="U246" t="s">
        <v>1117</v>
      </c>
      <c r="V246" t="s">
        <v>268</v>
      </c>
      <c r="X246" t="s">
        <v>269</v>
      </c>
      <c r="AE246" t="s">
        <v>273</v>
      </c>
      <c r="AG246" t="s">
        <v>277</v>
      </c>
      <c r="AI246" t="s">
        <v>345</v>
      </c>
      <c r="AK246">
        <v>0.6</v>
      </c>
      <c r="AM246">
        <v>1</v>
      </c>
      <c r="AO246" t="s">
        <v>1104</v>
      </c>
      <c r="AP246" t="s">
        <v>281</v>
      </c>
      <c r="AQ246" t="s">
        <v>283</v>
      </c>
      <c r="AR246" t="s">
        <v>537</v>
      </c>
      <c r="AS246" t="s">
        <v>1094</v>
      </c>
      <c r="AT246" t="s">
        <v>313</v>
      </c>
      <c r="AU246" t="s">
        <v>191</v>
      </c>
      <c r="AV246" s="30">
        <v>1</v>
      </c>
      <c r="AW246" t="s">
        <v>287</v>
      </c>
      <c r="AX246">
        <v>55</v>
      </c>
      <c r="AZ246" t="s">
        <v>829</v>
      </c>
      <c r="BA246">
        <v>2</v>
      </c>
      <c r="BB246" t="s">
        <v>289</v>
      </c>
      <c r="BC246" t="s">
        <v>239</v>
      </c>
      <c r="BE246" t="s">
        <v>434</v>
      </c>
      <c r="BF246" t="s">
        <v>293</v>
      </c>
      <c r="BG246" t="s">
        <v>299</v>
      </c>
      <c r="BH246" t="s">
        <v>281</v>
      </c>
      <c r="BI246">
        <v>2</v>
      </c>
      <c r="BJ246" t="s">
        <v>370</v>
      </c>
      <c r="BK246" t="s">
        <v>984</v>
      </c>
      <c r="BL246" t="s">
        <v>443</v>
      </c>
      <c r="BM246" t="s">
        <v>444</v>
      </c>
      <c r="BN246" t="str">
        <f t="shared" si="32"/>
        <v>SILENCE_MUSIC</v>
      </c>
      <c r="BO246" t="s">
        <v>267</v>
      </c>
      <c r="BQ246" s="26">
        <v>13.5</v>
      </c>
      <c r="BR246">
        <v>13.5</v>
      </c>
      <c r="BS246" s="35">
        <v>1519.174041</v>
      </c>
      <c r="BT246" s="35">
        <v>194.69026550000001</v>
      </c>
      <c r="BU246" s="35">
        <v>701.965735</v>
      </c>
      <c r="BV246" s="35"/>
      <c r="BW246" s="35">
        <v>1787.610619</v>
      </c>
      <c r="BX246" s="35">
        <v>76.696165190000002</v>
      </c>
      <c r="BY246" s="35">
        <v>276.53195620000002</v>
      </c>
      <c r="CB246" t="s">
        <v>268</v>
      </c>
      <c r="CD246" t="s">
        <v>268</v>
      </c>
      <c r="CE246" t="s">
        <v>267</v>
      </c>
      <c r="CF246" t="s">
        <v>309</v>
      </c>
      <c r="CG246" t="s">
        <v>268</v>
      </c>
      <c r="CI246" t="s">
        <v>268</v>
      </c>
      <c r="CK246" s="30">
        <f t="shared" si="27"/>
        <v>2</v>
      </c>
      <c r="CL246">
        <f t="shared" si="28"/>
        <v>7</v>
      </c>
    </row>
    <row r="247" spans="1:90" hidden="1" x14ac:dyDescent="0.35">
      <c r="A247" t="s">
        <v>1026</v>
      </c>
      <c r="B247" t="s">
        <v>978</v>
      </c>
      <c r="C247" t="s">
        <v>980</v>
      </c>
      <c r="D247" t="s">
        <v>979</v>
      </c>
      <c r="E247" t="s">
        <v>981</v>
      </c>
      <c r="F247">
        <v>2007</v>
      </c>
      <c r="G247" t="s">
        <v>175</v>
      </c>
      <c r="I247" t="s">
        <v>331</v>
      </c>
      <c r="K247" t="s">
        <v>180</v>
      </c>
      <c r="L247" t="s">
        <v>181</v>
      </c>
      <c r="M247" t="s">
        <v>982</v>
      </c>
      <c r="N247" t="s">
        <v>193</v>
      </c>
      <c r="O247" t="s">
        <v>192</v>
      </c>
      <c r="Q247" t="s">
        <v>192</v>
      </c>
      <c r="S247" t="s">
        <v>194</v>
      </c>
      <c r="U247" t="s">
        <v>1117</v>
      </c>
      <c r="V247" t="s">
        <v>268</v>
      </c>
      <c r="X247" t="s">
        <v>269</v>
      </c>
      <c r="AE247" t="s">
        <v>273</v>
      </c>
      <c r="AG247" t="s">
        <v>277</v>
      </c>
      <c r="AI247" t="s">
        <v>345</v>
      </c>
      <c r="AK247">
        <v>0.6</v>
      </c>
      <c r="AM247">
        <v>1</v>
      </c>
      <c r="AO247" t="s">
        <v>1104</v>
      </c>
      <c r="AP247" t="s">
        <v>281</v>
      </c>
      <c r="AQ247" t="s">
        <v>283</v>
      </c>
      <c r="AR247" t="s">
        <v>537</v>
      </c>
      <c r="AS247" t="s">
        <v>1094</v>
      </c>
      <c r="AT247" t="s">
        <v>313</v>
      </c>
      <c r="AU247" t="s">
        <v>191</v>
      </c>
      <c r="AV247" s="30">
        <v>1</v>
      </c>
      <c r="AW247" t="s">
        <v>287</v>
      </c>
      <c r="AX247">
        <v>55</v>
      </c>
      <c r="AZ247" t="s">
        <v>829</v>
      </c>
      <c r="BA247">
        <v>2</v>
      </c>
      <c r="BB247" t="s">
        <v>289</v>
      </c>
      <c r="BC247" t="s">
        <v>239</v>
      </c>
      <c r="BD247" t="s">
        <v>971</v>
      </c>
      <c r="BE247" t="s">
        <v>765</v>
      </c>
      <c r="BF247" t="s">
        <v>293</v>
      </c>
      <c r="BG247" t="s">
        <v>299</v>
      </c>
      <c r="BH247" t="s">
        <v>281</v>
      </c>
      <c r="BI247">
        <v>2</v>
      </c>
      <c r="BJ247" t="s">
        <v>370</v>
      </c>
      <c r="BK247" t="s">
        <v>985</v>
      </c>
      <c r="BL247" t="s">
        <v>443</v>
      </c>
      <c r="BM247" t="s">
        <v>444</v>
      </c>
      <c r="BN247" t="str">
        <f t="shared" ref="BN247:BN254" si="33">_xlfn.CONCAT(BL247:BM247)</f>
        <v>SILENCE_MUSIC</v>
      </c>
      <c r="BO247" t="s">
        <v>267</v>
      </c>
      <c r="BQ247">
        <v>13.5</v>
      </c>
      <c r="BR247">
        <v>13.5</v>
      </c>
      <c r="BS247" s="35">
        <v>178.47533630000001</v>
      </c>
      <c r="BT247" s="35">
        <v>53.81165919</v>
      </c>
      <c r="BU247" s="35">
        <v>194.02069639999999</v>
      </c>
      <c r="BV247" s="35"/>
      <c r="BW247" s="35">
        <v>467.26457399999998</v>
      </c>
      <c r="BX247" s="35">
        <v>74.439461879999996</v>
      </c>
      <c r="BY247" s="35">
        <v>268.39529670000002</v>
      </c>
      <c r="CB247" t="s">
        <v>268</v>
      </c>
      <c r="CD247" t="s">
        <v>268</v>
      </c>
      <c r="CE247" t="s">
        <v>267</v>
      </c>
      <c r="CF247" t="s">
        <v>309</v>
      </c>
      <c r="CG247" t="s">
        <v>268</v>
      </c>
      <c r="CI247" t="s">
        <v>268</v>
      </c>
      <c r="CK247" s="30">
        <f t="shared" si="27"/>
        <v>2</v>
      </c>
      <c r="CL247">
        <f t="shared" si="28"/>
        <v>7</v>
      </c>
    </row>
    <row r="248" spans="1:90" hidden="1" x14ac:dyDescent="0.35">
      <c r="A248" t="s">
        <v>1027</v>
      </c>
      <c r="B248" t="s">
        <v>978</v>
      </c>
      <c r="C248" t="s">
        <v>980</v>
      </c>
      <c r="D248" t="s">
        <v>979</v>
      </c>
      <c r="E248" t="s">
        <v>981</v>
      </c>
      <c r="F248">
        <v>2007</v>
      </c>
      <c r="G248" t="s">
        <v>175</v>
      </c>
      <c r="I248" t="s">
        <v>332</v>
      </c>
      <c r="K248" t="s">
        <v>180</v>
      </c>
      <c r="L248" t="s">
        <v>181</v>
      </c>
      <c r="M248" t="s">
        <v>982</v>
      </c>
      <c r="N248" t="s">
        <v>193</v>
      </c>
      <c r="O248" t="s">
        <v>192</v>
      </c>
      <c r="Q248" t="s">
        <v>192</v>
      </c>
      <c r="S248" t="s">
        <v>194</v>
      </c>
      <c r="U248" t="s">
        <v>1117</v>
      </c>
      <c r="V248" t="s">
        <v>268</v>
      </c>
      <c r="X248" t="s">
        <v>269</v>
      </c>
      <c r="AE248" t="s">
        <v>273</v>
      </c>
      <c r="AG248" t="s">
        <v>277</v>
      </c>
      <c r="AI248" t="s">
        <v>345</v>
      </c>
      <c r="AK248">
        <v>0.6</v>
      </c>
      <c r="AM248">
        <v>1</v>
      </c>
      <c r="AO248" t="s">
        <v>1104</v>
      </c>
      <c r="AP248" t="s">
        <v>281</v>
      </c>
      <c r="AQ248" t="s">
        <v>283</v>
      </c>
      <c r="AR248" t="s">
        <v>537</v>
      </c>
      <c r="AS248" t="s">
        <v>1094</v>
      </c>
      <c r="AT248" t="s">
        <v>313</v>
      </c>
      <c r="AU248" t="s">
        <v>191</v>
      </c>
      <c r="AV248" s="30">
        <v>1</v>
      </c>
      <c r="AW248" t="s">
        <v>287</v>
      </c>
      <c r="AX248">
        <v>55</v>
      </c>
      <c r="AZ248" t="s">
        <v>829</v>
      </c>
      <c r="BA248">
        <v>2</v>
      </c>
      <c r="BB248" t="s">
        <v>289</v>
      </c>
      <c r="BC248" t="s">
        <v>239</v>
      </c>
      <c r="BE248" t="s">
        <v>336</v>
      </c>
      <c r="BF248" t="s">
        <v>292</v>
      </c>
      <c r="BG248" t="s">
        <v>298</v>
      </c>
      <c r="BH248" t="s">
        <v>281</v>
      </c>
      <c r="BI248">
        <v>2</v>
      </c>
      <c r="BJ248" t="s">
        <v>370</v>
      </c>
      <c r="BK248" t="s">
        <v>986</v>
      </c>
      <c r="BL248" t="s">
        <v>443</v>
      </c>
      <c r="BM248" t="s">
        <v>444</v>
      </c>
      <c r="BN248" t="str">
        <f t="shared" si="33"/>
        <v>SILENCE_MUSIC</v>
      </c>
      <c r="BO248" t="s">
        <v>267</v>
      </c>
      <c r="BQ248" s="26">
        <v>13.5</v>
      </c>
      <c r="BR248">
        <v>13.5</v>
      </c>
      <c r="BS248" s="35">
        <v>11.59090909</v>
      </c>
      <c r="BT248" s="35">
        <v>3.011363636</v>
      </c>
      <c r="BU248" s="35">
        <v>10.857626</v>
      </c>
      <c r="BV248" s="35"/>
      <c r="BW248" s="35">
        <v>29.65909091</v>
      </c>
      <c r="BX248" s="35">
        <v>4.5454545450000001</v>
      </c>
      <c r="BY248" s="35">
        <v>16.38886943</v>
      </c>
      <c r="CB248" t="s">
        <v>268</v>
      </c>
      <c r="CD248" t="s">
        <v>268</v>
      </c>
      <c r="CE248" t="s">
        <v>267</v>
      </c>
      <c r="CF248" t="s">
        <v>309</v>
      </c>
      <c r="CG248" t="s">
        <v>268</v>
      </c>
      <c r="CI248" t="s">
        <v>268</v>
      </c>
      <c r="CK248" s="30">
        <f t="shared" si="27"/>
        <v>2</v>
      </c>
      <c r="CL248">
        <f t="shared" si="28"/>
        <v>7</v>
      </c>
    </row>
    <row r="249" spans="1:90" hidden="1" x14ac:dyDescent="0.35">
      <c r="A249" t="s">
        <v>1028</v>
      </c>
      <c r="B249" t="s">
        <v>978</v>
      </c>
      <c r="C249" t="s">
        <v>980</v>
      </c>
      <c r="D249" t="s">
        <v>979</v>
      </c>
      <c r="E249" t="s">
        <v>981</v>
      </c>
      <c r="F249">
        <v>2007</v>
      </c>
      <c r="G249" t="s">
        <v>175</v>
      </c>
      <c r="I249" t="s">
        <v>333</v>
      </c>
      <c r="K249" t="s">
        <v>180</v>
      </c>
      <c r="L249" t="s">
        <v>181</v>
      </c>
      <c r="M249" t="s">
        <v>982</v>
      </c>
      <c r="N249" t="s">
        <v>193</v>
      </c>
      <c r="O249" t="s">
        <v>192</v>
      </c>
      <c r="Q249" t="s">
        <v>192</v>
      </c>
      <c r="S249" t="s">
        <v>194</v>
      </c>
      <c r="U249" t="s">
        <v>1117</v>
      </c>
      <c r="V249" t="s">
        <v>268</v>
      </c>
      <c r="X249" t="s">
        <v>269</v>
      </c>
      <c r="AE249" t="s">
        <v>273</v>
      </c>
      <c r="AG249" t="s">
        <v>277</v>
      </c>
      <c r="AI249" t="s">
        <v>345</v>
      </c>
      <c r="AK249">
        <v>0.6</v>
      </c>
      <c r="AM249">
        <v>1</v>
      </c>
      <c r="AO249" t="s">
        <v>1104</v>
      </c>
      <c r="AP249" t="s">
        <v>281</v>
      </c>
      <c r="AQ249" t="s">
        <v>283</v>
      </c>
      <c r="AR249" t="s">
        <v>537</v>
      </c>
      <c r="AS249" t="s">
        <v>1094</v>
      </c>
      <c r="AT249" t="s">
        <v>313</v>
      </c>
      <c r="AU249" t="s">
        <v>191</v>
      </c>
      <c r="AV249" s="30">
        <v>1</v>
      </c>
      <c r="AW249" t="s">
        <v>287</v>
      </c>
      <c r="AX249">
        <v>55</v>
      </c>
      <c r="AZ249" t="s">
        <v>829</v>
      </c>
      <c r="BA249">
        <v>2</v>
      </c>
      <c r="BB249" t="s">
        <v>289</v>
      </c>
      <c r="BC249" t="s">
        <v>239</v>
      </c>
      <c r="BE249" t="s">
        <v>314</v>
      </c>
      <c r="BF249" t="s">
        <v>294</v>
      </c>
      <c r="BG249" t="s">
        <v>300</v>
      </c>
      <c r="BH249" t="s">
        <v>281</v>
      </c>
      <c r="BI249">
        <v>2</v>
      </c>
      <c r="BJ249" t="s">
        <v>370</v>
      </c>
      <c r="BK249" t="s">
        <v>987</v>
      </c>
      <c r="BL249" t="s">
        <v>443</v>
      </c>
      <c r="BM249" t="s">
        <v>444</v>
      </c>
      <c r="BN249" t="str">
        <f t="shared" si="33"/>
        <v>SILENCE_MUSIC</v>
      </c>
      <c r="BO249" t="s">
        <v>267</v>
      </c>
      <c r="BQ249">
        <v>13.5</v>
      </c>
      <c r="BR249">
        <v>13.5</v>
      </c>
      <c r="BS249" s="35">
        <v>6.5447897619999997</v>
      </c>
      <c r="BT249" s="35">
        <v>1.3162705669999999</v>
      </c>
      <c r="BU249" s="35">
        <v>4.7458810209999998</v>
      </c>
      <c r="BV249" s="35"/>
      <c r="BW249" s="35">
        <v>13.3820841</v>
      </c>
      <c r="BX249" s="35">
        <v>1.462522852</v>
      </c>
      <c r="BY249" s="35">
        <v>5.2732011339999998</v>
      </c>
      <c r="CB249" t="s">
        <v>268</v>
      </c>
      <c r="CD249" t="s">
        <v>268</v>
      </c>
      <c r="CE249" t="s">
        <v>267</v>
      </c>
      <c r="CF249" t="s">
        <v>309</v>
      </c>
      <c r="CG249" t="s">
        <v>268</v>
      </c>
      <c r="CI249" t="s">
        <v>268</v>
      </c>
      <c r="CK249" s="30">
        <f t="shared" si="27"/>
        <v>2</v>
      </c>
      <c r="CL249">
        <f t="shared" si="28"/>
        <v>7</v>
      </c>
    </row>
    <row r="250" spans="1:90" hidden="1" x14ac:dyDescent="0.35">
      <c r="A250" t="s">
        <v>1029</v>
      </c>
      <c r="B250" t="s">
        <v>978</v>
      </c>
      <c r="C250" t="s">
        <v>980</v>
      </c>
      <c r="D250" t="s">
        <v>979</v>
      </c>
      <c r="E250" t="s">
        <v>981</v>
      </c>
      <c r="F250">
        <v>2007</v>
      </c>
      <c r="G250" t="s">
        <v>344</v>
      </c>
      <c r="I250" t="s">
        <v>176</v>
      </c>
      <c r="K250" t="s">
        <v>180</v>
      </c>
      <c r="L250" t="s">
        <v>181</v>
      </c>
      <c r="M250" t="s">
        <v>982</v>
      </c>
      <c r="N250" t="s">
        <v>193</v>
      </c>
      <c r="O250" t="s">
        <v>192</v>
      </c>
      <c r="Q250" t="s">
        <v>192</v>
      </c>
      <c r="S250" t="s">
        <v>194</v>
      </c>
      <c r="U250" t="s">
        <v>1117</v>
      </c>
      <c r="V250" t="s">
        <v>268</v>
      </c>
      <c r="X250" t="s">
        <v>269</v>
      </c>
      <c r="AE250" t="s">
        <v>273</v>
      </c>
      <c r="AG250" t="s">
        <v>277</v>
      </c>
      <c r="AI250" t="s">
        <v>345</v>
      </c>
      <c r="AK250">
        <v>0.6</v>
      </c>
      <c r="AM250">
        <v>1</v>
      </c>
      <c r="AO250" t="s">
        <v>1104</v>
      </c>
      <c r="AP250" t="s">
        <v>281</v>
      </c>
      <c r="AQ250" t="s">
        <v>283</v>
      </c>
      <c r="AR250" t="s">
        <v>537</v>
      </c>
      <c r="AS250" t="s">
        <v>1094</v>
      </c>
      <c r="AT250" t="s">
        <v>313</v>
      </c>
      <c r="AU250" t="s">
        <v>191</v>
      </c>
      <c r="AV250" s="30">
        <v>1</v>
      </c>
      <c r="AW250" t="s">
        <v>288</v>
      </c>
      <c r="AX250">
        <v>70</v>
      </c>
      <c r="AZ250" t="s">
        <v>191</v>
      </c>
      <c r="BA250">
        <v>1</v>
      </c>
      <c r="BB250" t="s">
        <v>289</v>
      </c>
      <c r="BC250" t="s">
        <v>239</v>
      </c>
      <c r="BE250" t="s">
        <v>434</v>
      </c>
      <c r="BF250" t="s">
        <v>293</v>
      </c>
      <c r="BG250" t="s">
        <v>299</v>
      </c>
      <c r="BH250" t="s">
        <v>281</v>
      </c>
      <c r="BI250">
        <v>2</v>
      </c>
      <c r="BJ250" t="s">
        <v>370</v>
      </c>
      <c r="BK250" t="s">
        <v>984</v>
      </c>
      <c r="BL250" t="s">
        <v>897</v>
      </c>
      <c r="BM250" t="s">
        <v>444</v>
      </c>
      <c r="BN250" t="str">
        <f t="shared" si="33"/>
        <v>WHITENOISE_MUSIC</v>
      </c>
      <c r="BO250" t="s">
        <v>267</v>
      </c>
      <c r="BQ250" s="26">
        <v>13.5</v>
      </c>
      <c r="BR250">
        <v>13.5</v>
      </c>
      <c r="BS250" s="35">
        <v>1480.825959</v>
      </c>
      <c r="BT250" s="35">
        <v>147.49262540000001</v>
      </c>
      <c r="BU250" s="35">
        <v>531.79222349999998</v>
      </c>
      <c r="BV250" s="35"/>
      <c r="BW250" s="35">
        <v>1787.610619</v>
      </c>
      <c r="BX250" s="35">
        <v>76.696165190000002</v>
      </c>
      <c r="BY250" s="35">
        <v>276.53195620000002</v>
      </c>
      <c r="CB250" t="s">
        <v>268</v>
      </c>
      <c r="CD250" t="s">
        <v>268</v>
      </c>
      <c r="CE250" t="s">
        <v>267</v>
      </c>
      <c r="CF250" t="s">
        <v>309</v>
      </c>
      <c r="CG250" t="s">
        <v>268</v>
      </c>
      <c r="CI250" t="s">
        <v>268</v>
      </c>
      <c r="CK250" s="30">
        <f t="shared" si="27"/>
        <v>2</v>
      </c>
      <c r="CL250">
        <f t="shared" si="28"/>
        <v>6</v>
      </c>
    </row>
    <row r="251" spans="1:90" hidden="1" x14ac:dyDescent="0.35">
      <c r="A251" t="s">
        <v>1030</v>
      </c>
      <c r="B251" t="s">
        <v>978</v>
      </c>
      <c r="C251" t="s">
        <v>980</v>
      </c>
      <c r="D251" t="s">
        <v>979</v>
      </c>
      <c r="E251" t="s">
        <v>981</v>
      </c>
      <c r="F251">
        <v>2007</v>
      </c>
      <c r="G251" t="s">
        <v>344</v>
      </c>
      <c r="I251" t="s">
        <v>331</v>
      </c>
      <c r="K251" t="s">
        <v>180</v>
      </c>
      <c r="L251" t="s">
        <v>181</v>
      </c>
      <c r="M251" t="s">
        <v>982</v>
      </c>
      <c r="N251" t="s">
        <v>193</v>
      </c>
      <c r="O251" t="s">
        <v>192</v>
      </c>
      <c r="Q251" t="s">
        <v>192</v>
      </c>
      <c r="S251" t="s">
        <v>194</v>
      </c>
      <c r="U251" t="s">
        <v>1117</v>
      </c>
      <c r="V251" t="s">
        <v>268</v>
      </c>
      <c r="X251" t="s">
        <v>269</v>
      </c>
      <c r="AE251" t="s">
        <v>273</v>
      </c>
      <c r="AG251" t="s">
        <v>277</v>
      </c>
      <c r="AI251" t="s">
        <v>345</v>
      </c>
      <c r="AK251">
        <v>0.6</v>
      </c>
      <c r="AM251">
        <v>1</v>
      </c>
      <c r="AO251" t="s">
        <v>1104</v>
      </c>
      <c r="AP251" t="s">
        <v>281</v>
      </c>
      <c r="AQ251" t="s">
        <v>283</v>
      </c>
      <c r="AR251" t="s">
        <v>537</v>
      </c>
      <c r="AS251" t="s">
        <v>1094</v>
      </c>
      <c r="AT251" t="s">
        <v>313</v>
      </c>
      <c r="AU251" t="s">
        <v>191</v>
      </c>
      <c r="AV251" s="30">
        <v>1</v>
      </c>
      <c r="AW251" t="s">
        <v>288</v>
      </c>
      <c r="AX251">
        <v>70</v>
      </c>
      <c r="AZ251" t="s">
        <v>191</v>
      </c>
      <c r="BA251">
        <v>1</v>
      </c>
      <c r="BB251" t="s">
        <v>289</v>
      </c>
      <c r="BC251" t="s">
        <v>239</v>
      </c>
      <c r="BE251" t="s">
        <v>765</v>
      </c>
      <c r="BF251" t="s">
        <v>293</v>
      </c>
      <c r="BG251" t="s">
        <v>299</v>
      </c>
      <c r="BH251" t="s">
        <v>281</v>
      </c>
      <c r="BI251">
        <v>2</v>
      </c>
      <c r="BJ251" t="s">
        <v>370</v>
      </c>
      <c r="BK251" t="s">
        <v>985</v>
      </c>
      <c r="BL251" t="s">
        <v>897</v>
      </c>
      <c r="BM251" t="s">
        <v>444</v>
      </c>
      <c r="BN251" t="str">
        <f t="shared" si="33"/>
        <v>WHITENOISE_MUSIC</v>
      </c>
      <c r="BO251" t="s">
        <v>267</v>
      </c>
      <c r="BQ251">
        <v>13.5</v>
      </c>
      <c r="BR251">
        <v>13.5</v>
      </c>
      <c r="BS251" s="35">
        <v>163.2286996</v>
      </c>
      <c r="BT251" s="35">
        <v>34.080717489999998</v>
      </c>
      <c r="BU251" s="35">
        <v>122.8797744</v>
      </c>
      <c r="BV251" s="35"/>
      <c r="BW251" s="35">
        <v>467.26457399999998</v>
      </c>
      <c r="BX251" s="35">
        <v>74.439461879999996</v>
      </c>
      <c r="BY251" s="35">
        <v>268.39529670000002</v>
      </c>
      <c r="CB251" t="s">
        <v>268</v>
      </c>
      <c r="CD251" t="s">
        <v>268</v>
      </c>
      <c r="CE251" t="s">
        <v>267</v>
      </c>
      <c r="CF251" t="s">
        <v>309</v>
      </c>
      <c r="CG251" t="s">
        <v>268</v>
      </c>
      <c r="CI251" t="s">
        <v>268</v>
      </c>
      <c r="CK251" s="30">
        <f t="shared" si="27"/>
        <v>2</v>
      </c>
      <c r="CL251">
        <f t="shared" si="28"/>
        <v>6</v>
      </c>
    </row>
    <row r="252" spans="1:90" hidden="1" x14ac:dyDescent="0.35">
      <c r="A252" t="s">
        <v>1031</v>
      </c>
      <c r="B252" t="s">
        <v>978</v>
      </c>
      <c r="C252" t="s">
        <v>980</v>
      </c>
      <c r="D252" t="s">
        <v>979</v>
      </c>
      <c r="E252" t="s">
        <v>981</v>
      </c>
      <c r="F252">
        <v>2007</v>
      </c>
      <c r="G252" t="s">
        <v>344</v>
      </c>
      <c r="I252" t="s">
        <v>332</v>
      </c>
      <c r="K252" t="s">
        <v>180</v>
      </c>
      <c r="L252" t="s">
        <v>181</v>
      </c>
      <c r="M252" t="s">
        <v>982</v>
      </c>
      <c r="N252" t="s">
        <v>193</v>
      </c>
      <c r="O252" t="s">
        <v>192</v>
      </c>
      <c r="Q252" t="s">
        <v>192</v>
      </c>
      <c r="S252" t="s">
        <v>194</v>
      </c>
      <c r="U252" t="s">
        <v>1117</v>
      </c>
      <c r="V252" t="s">
        <v>268</v>
      </c>
      <c r="X252" t="s">
        <v>269</v>
      </c>
      <c r="AE252" t="s">
        <v>273</v>
      </c>
      <c r="AG252" t="s">
        <v>277</v>
      </c>
      <c r="AI252" t="s">
        <v>345</v>
      </c>
      <c r="AK252">
        <v>0.6</v>
      </c>
      <c r="AM252">
        <v>1</v>
      </c>
      <c r="AO252" t="s">
        <v>1104</v>
      </c>
      <c r="AP252" t="s">
        <v>281</v>
      </c>
      <c r="AQ252" t="s">
        <v>283</v>
      </c>
      <c r="AR252" t="s">
        <v>537</v>
      </c>
      <c r="AS252" t="s">
        <v>1094</v>
      </c>
      <c r="AT252" t="s">
        <v>313</v>
      </c>
      <c r="AU252" t="s">
        <v>191</v>
      </c>
      <c r="AV252" s="30">
        <v>1</v>
      </c>
      <c r="AW252" t="s">
        <v>288</v>
      </c>
      <c r="AX252">
        <v>70</v>
      </c>
      <c r="AZ252" t="s">
        <v>191</v>
      </c>
      <c r="BA252">
        <v>1</v>
      </c>
      <c r="BB252" t="s">
        <v>289</v>
      </c>
      <c r="BC252" t="s">
        <v>239</v>
      </c>
      <c r="BE252" t="s">
        <v>336</v>
      </c>
      <c r="BF252" t="s">
        <v>292</v>
      </c>
      <c r="BG252" t="s">
        <v>298</v>
      </c>
      <c r="BH252" t="s">
        <v>281</v>
      </c>
      <c r="BI252">
        <v>2</v>
      </c>
      <c r="BJ252" t="s">
        <v>370</v>
      </c>
      <c r="BK252" t="s">
        <v>986</v>
      </c>
      <c r="BL252" t="s">
        <v>897</v>
      </c>
      <c r="BM252" t="s">
        <v>444</v>
      </c>
      <c r="BN252" t="str">
        <f t="shared" si="33"/>
        <v>WHITENOISE_MUSIC</v>
      </c>
      <c r="BO252" t="s">
        <v>267</v>
      </c>
      <c r="BQ252" s="26">
        <v>13.5</v>
      </c>
      <c r="BR252">
        <v>13.5</v>
      </c>
      <c r="BS252" s="35">
        <v>10.625</v>
      </c>
      <c r="BT252" s="35">
        <v>2.0454545450000001</v>
      </c>
      <c r="BU252" s="35">
        <v>7.3749912450000004</v>
      </c>
      <c r="BV252" s="35"/>
      <c r="BW252" s="35">
        <v>29.65909091</v>
      </c>
      <c r="BX252" s="35">
        <v>4.5454545450000001</v>
      </c>
      <c r="BY252" s="35">
        <v>16.38886943</v>
      </c>
      <c r="CB252" t="s">
        <v>268</v>
      </c>
      <c r="CD252" t="s">
        <v>268</v>
      </c>
      <c r="CE252" t="s">
        <v>267</v>
      </c>
      <c r="CF252" t="s">
        <v>309</v>
      </c>
      <c r="CG252" t="s">
        <v>268</v>
      </c>
      <c r="CI252" t="s">
        <v>268</v>
      </c>
      <c r="CK252" s="30">
        <f t="shared" si="27"/>
        <v>2</v>
      </c>
      <c r="CL252">
        <f t="shared" si="28"/>
        <v>6</v>
      </c>
    </row>
    <row r="253" spans="1:90" ht="17" hidden="1" customHeight="1" x14ac:dyDescent="0.35">
      <c r="A253" t="s">
        <v>1032</v>
      </c>
      <c r="B253" t="s">
        <v>978</v>
      </c>
      <c r="C253" t="s">
        <v>980</v>
      </c>
      <c r="D253" t="s">
        <v>979</v>
      </c>
      <c r="E253" t="s">
        <v>981</v>
      </c>
      <c r="F253">
        <v>2007</v>
      </c>
      <c r="G253" t="s">
        <v>344</v>
      </c>
      <c r="I253" t="s">
        <v>333</v>
      </c>
      <c r="K253" t="s">
        <v>180</v>
      </c>
      <c r="L253" t="s">
        <v>181</v>
      </c>
      <c r="M253" t="s">
        <v>982</v>
      </c>
      <c r="N253" t="s">
        <v>193</v>
      </c>
      <c r="O253" t="s">
        <v>192</v>
      </c>
      <c r="Q253" t="s">
        <v>192</v>
      </c>
      <c r="S253" t="s">
        <v>194</v>
      </c>
      <c r="U253" t="s">
        <v>1117</v>
      </c>
      <c r="V253" t="s">
        <v>268</v>
      </c>
      <c r="X253" t="s">
        <v>269</v>
      </c>
      <c r="AE253" t="s">
        <v>273</v>
      </c>
      <c r="AG253" t="s">
        <v>277</v>
      </c>
      <c r="AI253" t="s">
        <v>345</v>
      </c>
      <c r="AK253">
        <v>0.6</v>
      </c>
      <c r="AM253">
        <v>1</v>
      </c>
      <c r="AO253" t="s">
        <v>1104</v>
      </c>
      <c r="AP253" t="s">
        <v>281</v>
      </c>
      <c r="AQ253" t="s">
        <v>283</v>
      </c>
      <c r="AR253" t="s">
        <v>537</v>
      </c>
      <c r="AS253" t="s">
        <v>1094</v>
      </c>
      <c r="AT253" t="s">
        <v>313</v>
      </c>
      <c r="AU253" t="s">
        <v>191</v>
      </c>
      <c r="AV253" s="30">
        <v>1</v>
      </c>
      <c r="AW253" t="s">
        <v>288</v>
      </c>
      <c r="AX253">
        <v>70</v>
      </c>
      <c r="AZ253" t="s">
        <v>191</v>
      </c>
      <c r="BA253">
        <v>1</v>
      </c>
      <c r="BB253" t="s">
        <v>289</v>
      </c>
      <c r="BC253" t="s">
        <v>239</v>
      </c>
      <c r="BE253" t="s">
        <v>314</v>
      </c>
      <c r="BF253" t="s">
        <v>294</v>
      </c>
      <c r="BG253" t="s">
        <v>300</v>
      </c>
      <c r="BH253" t="s">
        <v>281</v>
      </c>
      <c r="BI253">
        <v>2</v>
      </c>
      <c r="BJ253" t="s">
        <v>370</v>
      </c>
      <c r="BK253" t="s">
        <v>987</v>
      </c>
      <c r="BL253" t="s">
        <v>897</v>
      </c>
      <c r="BM253" t="s">
        <v>444</v>
      </c>
      <c r="BN253" t="str">
        <f t="shared" si="33"/>
        <v>WHITENOISE_MUSIC</v>
      </c>
      <c r="BO253" t="s">
        <v>267</v>
      </c>
      <c r="BQ253">
        <v>13.5</v>
      </c>
      <c r="BR253">
        <v>13.5</v>
      </c>
      <c r="BS253" s="35">
        <v>6.837294333</v>
      </c>
      <c r="BT253" s="35">
        <v>1.243144424</v>
      </c>
      <c r="BU253" s="35">
        <v>4.4822209639999997</v>
      </c>
      <c r="BV253" s="35"/>
      <c r="BW253" s="35">
        <v>13.3820841</v>
      </c>
      <c r="BX253" s="35">
        <v>1.462522852</v>
      </c>
      <c r="BY253" s="35">
        <v>5.2732011339999998</v>
      </c>
      <c r="CB253" t="s">
        <v>268</v>
      </c>
      <c r="CD253" t="s">
        <v>268</v>
      </c>
      <c r="CE253" t="s">
        <v>267</v>
      </c>
      <c r="CF253" t="s">
        <v>309</v>
      </c>
      <c r="CG253" t="s">
        <v>268</v>
      </c>
      <c r="CI253" t="s">
        <v>268</v>
      </c>
      <c r="CK253" s="30">
        <f t="shared" si="27"/>
        <v>2</v>
      </c>
      <c r="CL253">
        <f t="shared" si="28"/>
        <v>6</v>
      </c>
    </row>
    <row r="254" spans="1:90" hidden="1" x14ac:dyDescent="0.35">
      <c r="A254" t="s">
        <v>1033</v>
      </c>
      <c r="B254" t="s">
        <v>978</v>
      </c>
      <c r="C254" t="s">
        <v>980</v>
      </c>
      <c r="D254" t="s">
        <v>979</v>
      </c>
      <c r="E254" t="s">
        <v>981</v>
      </c>
      <c r="F254">
        <v>2007</v>
      </c>
      <c r="G254" t="s">
        <v>844</v>
      </c>
      <c r="I254" t="s">
        <v>176</v>
      </c>
      <c r="K254" t="s">
        <v>180</v>
      </c>
      <c r="L254" t="s">
        <v>181</v>
      </c>
      <c r="M254" t="s">
        <v>982</v>
      </c>
      <c r="N254" t="s">
        <v>193</v>
      </c>
      <c r="O254" t="s">
        <v>187</v>
      </c>
      <c r="P254" t="s">
        <v>983</v>
      </c>
      <c r="Q254" t="s">
        <v>187</v>
      </c>
      <c r="S254" t="s">
        <v>204</v>
      </c>
      <c r="U254" t="s">
        <v>1117</v>
      </c>
      <c r="V254" t="s">
        <v>267</v>
      </c>
      <c r="X254" t="s">
        <v>269</v>
      </c>
      <c r="AE254" t="s">
        <v>274</v>
      </c>
      <c r="AF254" t="s">
        <v>990</v>
      </c>
      <c r="AG254" t="s">
        <v>277</v>
      </c>
      <c r="AI254" t="s">
        <v>345</v>
      </c>
      <c r="AK254">
        <v>0.6</v>
      </c>
      <c r="AM254">
        <v>1</v>
      </c>
      <c r="AO254" t="s">
        <v>1104</v>
      </c>
      <c r="AP254" t="s">
        <v>281</v>
      </c>
      <c r="AQ254" t="s">
        <v>283</v>
      </c>
      <c r="AR254" t="s">
        <v>537</v>
      </c>
      <c r="AS254" t="s">
        <v>1094</v>
      </c>
      <c r="AT254" t="s">
        <v>313</v>
      </c>
      <c r="AU254" t="s">
        <v>191</v>
      </c>
      <c r="AV254" s="30">
        <v>1</v>
      </c>
      <c r="AW254" t="s">
        <v>287</v>
      </c>
      <c r="AX254">
        <v>55</v>
      </c>
      <c r="AZ254" t="s">
        <v>829</v>
      </c>
      <c r="BA254">
        <v>2</v>
      </c>
      <c r="BB254" t="s">
        <v>289</v>
      </c>
      <c r="BC254" t="s">
        <v>243</v>
      </c>
      <c r="BE254" t="s">
        <v>434</v>
      </c>
      <c r="BF254" t="s">
        <v>293</v>
      </c>
      <c r="BG254" t="s">
        <v>299</v>
      </c>
      <c r="BH254" t="s">
        <v>281</v>
      </c>
      <c r="BI254">
        <v>2</v>
      </c>
      <c r="BJ254" t="s">
        <v>315</v>
      </c>
      <c r="BK254" t="s">
        <v>988</v>
      </c>
      <c r="BL254" t="s">
        <v>443</v>
      </c>
      <c r="BM254" t="s">
        <v>444</v>
      </c>
      <c r="BN254" t="str">
        <f t="shared" si="33"/>
        <v>SILENCE_MUSIC</v>
      </c>
      <c r="BO254" t="s">
        <v>267</v>
      </c>
      <c r="BQ254">
        <f>MEDIAN(12,14)</f>
        <v>13</v>
      </c>
      <c r="BR254">
        <f>MEDIAN(12,14)</f>
        <v>13</v>
      </c>
      <c r="BS254" s="35">
        <v>4160.15625</v>
      </c>
      <c r="BT254" s="35">
        <v>292.96875</v>
      </c>
      <c r="BU254" s="35">
        <v>1056.31385</v>
      </c>
      <c r="BV254" s="35"/>
      <c r="BW254" s="35">
        <v>3984.375</v>
      </c>
      <c r="BX254" s="35">
        <v>375</v>
      </c>
      <c r="BY254" s="35">
        <v>1352.0817280000001</v>
      </c>
      <c r="CB254" t="s">
        <v>268</v>
      </c>
      <c r="CD254" t="s">
        <v>268</v>
      </c>
      <c r="CE254" t="s">
        <v>267</v>
      </c>
      <c r="CF254" t="s">
        <v>309</v>
      </c>
      <c r="CG254" t="s">
        <v>267</v>
      </c>
      <c r="CH254" t="s">
        <v>991</v>
      </c>
      <c r="CI254" t="s">
        <v>267</v>
      </c>
      <c r="CJ254" t="s">
        <v>997</v>
      </c>
      <c r="CK254" s="30">
        <f t="shared" si="27"/>
        <v>1</v>
      </c>
      <c r="CL254">
        <f t="shared" si="28"/>
        <v>6</v>
      </c>
    </row>
    <row r="255" spans="1:90" hidden="1" x14ac:dyDescent="0.35">
      <c r="A255" t="s">
        <v>1034</v>
      </c>
      <c r="B255" t="s">
        <v>978</v>
      </c>
      <c r="C255" t="s">
        <v>980</v>
      </c>
      <c r="D255" t="s">
        <v>979</v>
      </c>
      <c r="E255" t="s">
        <v>981</v>
      </c>
      <c r="F255">
        <v>2007</v>
      </c>
      <c r="G255" t="s">
        <v>844</v>
      </c>
      <c r="I255" t="s">
        <v>331</v>
      </c>
      <c r="K255" t="s">
        <v>180</v>
      </c>
      <c r="L255" t="s">
        <v>181</v>
      </c>
      <c r="M255" t="s">
        <v>982</v>
      </c>
      <c r="N255" t="s">
        <v>193</v>
      </c>
      <c r="O255" t="s">
        <v>187</v>
      </c>
      <c r="P255" t="s">
        <v>983</v>
      </c>
      <c r="Q255" t="s">
        <v>187</v>
      </c>
      <c r="S255" t="s">
        <v>204</v>
      </c>
      <c r="U255" t="s">
        <v>1117</v>
      </c>
      <c r="V255" t="s">
        <v>267</v>
      </c>
      <c r="X255" t="s">
        <v>269</v>
      </c>
      <c r="AE255" t="s">
        <v>274</v>
      </c>
      <c r="AF255" t="s">
        <v>990</v>
      </c>
      <c r="AG255" t="s">
        <v>277</v>
      </c>
      <c r="AI255" t="s">
        <v>345</v>
      </c>
      <c r="AK255">
        <v>0.6</v>
      </c>
      <c r="AM255">
        <v>1</v>
      </c>
      <c r="AO255" t="s">
        <v>1104</v>
      </c>
      <c r="AP255" t="s">
        <v>281</v>
      </c>
      <c r="AQ255" t="s">
        <v>283</v>
      </c>
      <c r="AR255" t="s">
        <v>537</v>
      </c>
      <c r="AS255" t="s">
        <v>1094</v>
      </c>
      <c r="AT255" t="s">
        <v>313</v>
      </c>
      <c r="AU255" t="s">
        <v>191</v>
      </c>
      <c r="AV255" s="30">
        <v>1</v>
      </c>
      <c r="AW255" t="s">
        <v>287</v>
      </c>
      <c r="AX255">
        <v>55</v>
      </c>
      <c r="AZ255" t="s">
        <v>829</v>
      </c>
      <c r="BA255">
        <v>2</v>
      </c>
      <c r="BB255" t="s">
        <v>289</v>
      </c>
      <c r="BC255" t="s">
        <v>243</v>
      </c>
      <c r="BE255" t="s">
        <v>398</v>
      </c>
      <c r="BF255" t="s">
        <v>292</v>
      </c>
      <c r="BG255" t="s">
        <v>298</v>
      </c>
      <c r="BH255" t="s">
        <v>281</v>
      </c>
      <c r="BI255">
        <v>2</v>
      </c>
      <c r="BJ255" t="s">
        <v>315</v>
      </c>
      <c r="BK255" t="s">
        <v>989</v>
      </c>
      <c r="BL255" t="s">
        <v>443</v>
      </c>
      <c r="BM255" t="s">
        <v>444</v>
      </c>
      <c r="BN255" t="str">
        <f t="shared" ref="BN255:BN257" si="34">_xlfn.CONCAT(BL255:BM255)</f>
        <v>SILENCE_MUSIC</v>
      </c>
      <c r="BO255" t="s">
        <v>267</v>
      </c>
      <c r="BQ255">
        <f t="shared" ref="BQ255:BR257" si="35">MEDIAN(12,14)</f>
        <v>13</v>
      </c>
      <c r="BR255">
        <f t="shared" si="35"/>
        <v>13</v>
      </c>
      <c r="BS255" s="35">
        <v>6.3758389260000001</v>
      </c>
      <c r="BT255" s="35">
        <v>0.73825503400000003</v>
      </c>
      <c r="BU255" s="35">
        <v>2.6618163780000001</v>
      </c>
      <c r="BV255" s="35"/>
      <c r="BW255" s="35">
        <v>5.4026845640000003</v>
      </c>
      <c r="BX255" s="35">
        <v>1.140939597</v>
      </c>
      <c r="BY255" s="35">
        <v>4.1137162199999997</v>
      </c>
      <c r="CB255" t="s">
        <v>268</v>
      </c>
      <c r="CD255" t="s">
        <v>268</v>
      </c>
      <c r="CE255" t="s">
        <v>267</v>
      </c>
      <c r="CF255" t="s">
        <v>309</v>
      </c>
      <c r="CG255" t="s">
        <v>267</v>
      </c>
      <c r="CH255" t="s">
        <v>991</v>
      </c>
      <c r="CI255" t="s">
        <v>267</v>
      </c>
      <c r="CJ255" t="s">
        <v>997</v>
      </c>
      <c r="CK255" s="30">
        <f t="shared" si="27"/>
        <v>1</v>
      </c>
      <c r="CL255">
        <f t="shared" si="28"/>
        <v>6</v>
      </c>
    </row>
    <row r="256" spans="1:90" hidden="1" x14ac:dyDescent="0.35">
      <c r="A256" t="s">
        <v>1035</v>
      </c>
      <c r="B256" t="s">
        <v>978</v>
      </c>
      <c r="C256" t="s">
        <v>980</v>
      </c>
      <c r="D256" t="s">
        <v>979</v>
      </c>
      <c r="E256" t="s">
        <v>981</v>
      </c>
      <c r="F256">
        <v>2007</v>
      </c>
      <c r="G256" t="s">
        <v>845</v>
      </c>
      <c r="I256" t="s">
        <v>176</v>
      </c>
      <c r="K256" t="s">
        <v>180</v>
      </c>
      <c r="L256" t="s">
        <v>181</v>
      </c>
      <c r="M256" t="s">
        <v>982</v>
      </c>
      <c r="N256" t="s">
        <v>193</v>
      </c>
      <c r="O256" t="s">
        <v>187</v>
      </c>
      <c r="P256" t="s">
        <v>983</v>
      </c>
      <c r="Q256" t="s">
        <v>187</v>
      </c>
      <c r="S256" t="s">
        <v>204</v>
      </c>
      <c r="U256" t="s">
        <v>1117</v>
      </c>
      <c r="V256" t="s">
        <v>267</v>
      </c>
      <c r="X256" t="s">
        <v>269</v>
      </c>
      <c r="AE256" t="s">
        <v>274</v>
      </c>
      <c r="AF256" t="s">
        <v>990</v>
      </c>
      <c r="AG256" t="s">
        <v>277</v>
      </c>
      <c r="AI256" t="s">
        <v>345</v>
      </c>
      <c r="AK256">
        <v>0.6</v>
      </c>
      <c r="AM256">
        <v>1</v>
      </c>
      <c r="AO256" t="s">
        <v>1104</v>
      </c>
      <c r="AP256" t="s">
        <v>281</v>
      </c>
      <c r="AQ256" t="s">
        <v>283</v>
      </c>
      <c r="AR256" t="s">
        <v>537</v>
      </c>
      <c r="AS256" t="s">
        <v>1094</v>
      </c>
      <c r="AT256" t="s">
        <v>313</v>
      </c>
      <c r="AU256" t="s">
        <v>191</v>
      </c>
      <c r="AV256" s="30">
        <v>1</v>
      </c>
      <c r="AW256" t="s">
        <v>288</v>
      </c>
      <c r="AX256">
        <v>70</v>
      </c>
      <c r="AZ256" t="s">
        <v>191</v>
      </c>
      <c r="BA256">
        <v>1</v>
      </c>
      <c r="BB256" t="s">
        <v>289</v>
      </c>
      <c r="BC256" t="s">
        <v>243</v>
      </c>
      <c r="BE256" t="s">
        <v>434</v>
      </c>
      <c r="BF256" t="s">
        <v>293</v>
      </c>
      <c r="BG256" t="s">
        <v>299</v>
      </c>
      <c r="BH256" t="s">
        <v>281</v>
      </c>
      <c r="BI256">
        <v>2</v>
      </c>
      <c r="BJ256" t="s">
        <v>315</v>
      </c>
      <c r="BK256" t="s">
        <v>988</v>
      </c>
      <c r="BL256" t="s">
        <v>897</v>
      </c>
      <c r="BM256" t="s">
        <v>444</v>
      </c>
      <c r="BN256" t="str">
        <f t="shared" si="34"/>
        <v>WHITENOISE_MUSIC</v>
      </c>
      <c r="BO256" t="s">
        <v>267</v>
      </c>
      <c r="BQ256">
        <f t="shared" si="35"/>
        <v>13</v>
      </c>
      <c r="BR256">
        <f t="shared" si="35"/>
        <v>13</v>
      </c>
      <c r="BS256" s="35">
        <v>2882.8125</v>
      </c>
      <c r="BT256" s="35">
        <v>328.125</v>
      </c>
      <c r="BU256" s="35">
        <v>1183.071512</v>
      </c>
      <c r="BV256" s="35"/>
      <c r="BW256" s="35">
        <v>3984.375</v>
      </c>
      <c r="BX256" s="35">
        <v>375</v>
      </c>
      <c r="BY256" s="35">
        <v>1352.0817280000001</v>
      </c>
      <c r="CB256" t="s">
        <v>268</v>
      </c>
      <c r="CD256" t="s">
        <v>268</v>
      </c>
      <c r="CE256" t="s">
        <v>267</v>
      </c>
      <c r="CF256" t="s">
        <v>309</v>
      </c>
      <c r="CG256" t="s">
        <v>267</v>
      </c>
      <c r="CH256" t="s">
        <v>991</v>
      </c>
      <c r="CI256" t="s">
        <v>267</v>
      </c>
      <c r="CJ256" t="s">
        <v>997</v>
      </c>
      <c r="CK256" s="30">
        <f t="shared" si="27"/>
        <v>1</v>
      </c>
      <c r="CL256">
        <f t="shared" si="28"/>
        <v>5</v>
      </c>
    </row>
    <row r="257" spans="1:90" hidden="1" x14ac:dyDescent="0.35">
      <c r="A257" t="s">
        <v>1036</v>
      </c>
      <c r="B257" t="s">
        <v>978</v>
      </c>
      <c r="C257" t="s">
        <v>980</v>
      </c>
      <c r="D257" t="s">
        <v>979</v>
      </c>
      <c r="E257" t="s">
        <v>981</v>
      </c>
      <c r="F257">
        <v>2007</v>
      </c>
      <c r="G257" t="s">
        <v>845</v>
      </c>
      <c r="I257" t="s">
        <v>331</v>
      </c>
      <c r="K257" t="s">
        <v>180</v>
      </c>
      <c r="L257" t="s">
        <v>181</v>
      </c>
      <c r="M257" t="s">
        <v>982</v>
      </c>
      <c r="N257" t="s">
        <v>193</v>
      </c>
      <c r="O257" t="s">
        <v>187</v>
      </c>
      <c r="P257" t="s">
        <v>983</v>
      </c>
      <c r="Q257" t="s">
        <v>187</v>
      </c>
      <c r="S257" t="s">
        <v>204</v>
      </c>
      <c r="U257" t="s">
        <v>1117</v>
      </c>
      <c r="V257" t="s">
        <v>267</v>
      </c>
      <c r="X257" t="s">
        <v>269</v>
      </c>
      <c r="AE257" t="s">
        <v>274</v>
      </c>
      <c r="AF257" t="s">
        <v>990</v>
      </c>
      <c r="AG257" t="s">
        <v>277</v>
      </c>
      <c r="AI257" t="s">
        <v>345</v>
      </c>
      <c r="AK257">
        <v>0.6</v>
      </c>
      <c r="AM257">
        <v>1</v>
      </c>
      <c r="AO257" t="s">
        <v>1104</v>
      </c>
      <c r="AP257" t="s">
        <v>281</v>
      </c>
      <c r="AQ257" t="s">
        <v>283</v>
      </c>
      <c r="AR257" t="s">
        <v>537</v>
      </c>
      <c r="AS257" t="s">
        <v>1094</v>
      </c>
      <c r="AT257" t="s">
        <v>313</v>
      </c>
      <c r="AU257" t="s">
        <v>191</v>
      </c>
      <c r="AV257" s="30">
        <v>1</v>
      </c>
      <c r="AW257" t="s">
        <v>288</v>
      </c>
      <c r="AX257">
        <v>70</v>
      </c>
      <c r="AZ257" t="s">
        <v>191</v>
      </c>
      <c r="BA257">
        <v>1</v>
      </c>
      <c r="BB257" t="s">
        <v>289</v>
      </c>
      <c r="BC257" t="s">
        <v>243</v>
      </c>
      <c r="BE257" t="s">
        <v>398</v>
      </c>
      <c r="BF257" t="s">
        <v>292</v>
      </c>
      <c r="BG257" t="s">
        <v>298</v>
      </c>
      <c r="BH257" t="s">
        <v>281</v>
      </c>
      <c r="BI257">
        <v>2</v>
      </c>
      <c r="BJ257" t="s">
        <v>315</v>
      </c>
      <c r="BK257" t="s">
        <v>989</v>
      </c>
      <c r="BL257" t="s">
        <v>897</v>
      </c>
      <c r="BM257" t="s">
        <v>444</v>
      </c>
      <c r="BN257" t="str">
        <f t="shared" si="34"/>
        <v>WHITENOISE_MUSIC</v>
      </c>
      <c r="BO257" t="s">
        <v>267</v>
      </c>
      <c r="BQ257">
        <f t="shared" si="35"/>
        <v>13</v>
      </c>
      <c r="BR257">
        <f t="shared" si="35"/>
        <v>13</v>
      </c>
      <c r="BS257" s="35">
        <v>3.4899328860000001</v>
      </c>
      <c r="BT257" s="35">
        <v>0.97315436200000005</v>
      </c>
      <c r="BU257" s="35">
        <v>3.5087579529999999</v>
      </c>
      <c r="BV257" s="35"/>
      <c r="BW257" s="35">
        <v>5.4026845640000003</v>
      </c>
      <c r="BX257" s="35">
        <v>1.140939597</v>
      </c>
      <c r="BY257" s="35">
        <v>4.1137162199999997</v>
      </c>
      <c r="CB257" t="s">
        <v>268</v>
      </c>
      <c r="CD257" t="s">
        <v>268</v>
      </c>
      <c r="CE257" t="s">
        <v>267</v>
      </c>
      <c r="CF257" t="s">
        <v>309</v>
      </c>
      <c r="CG257" t="s">
        <v>267</v>
      </c>
      <c r="CH257" t="s">
        <v>991</v>
      </c>
      <c r="CI257" t="s">
        <v>267</v>
      </c>
      <c r="CJ257" t="s">
        <v>997</v>
      </c>
      <c r="CK257" s="30">
        <f t="shared" ref="CK257:CK299" si="36">(CB257="Yes")+(CD257="Yes")+(CE257="Yes")+(CI257="No")</f>
        <v>1</v>
      </c>
      <c r="CL257">
        <f t="shared" ref="CL257:CL299" si="37">CK257+AV257+BA257+BI257</f>
        <v>5</v>
      </c>
    </row>
    <row r="258" spans="1:90" hidden="1" x14ac:dyDescent="0.35">
      <c r="A258" t="s">
        <v>1037</v>
      </c>
      <c r="B258" t="s">
        <v>978</v>
      </c>
      <c r="C258" t="s">
        <v>980</v>
      </c>
      <c r="D258" t="s">
        <v>979</v>
      </c>
      <c r="E258" t="s">
        <v>981</v>
      </c>
      <c r="F258">
        <v>2007</v>
      </c>
      <c r="G258" t="s">
        <v>453</v>
      </c>
      <c r="H258" t="s">
        <v>992</v>
      </c>
      <c r="I258" t="s">
        <v>176</v>
      </c>
      <c r="K258" t="s">
        <v>180</v>
      </c>
      <c r="L258" t="s">
        <v>181</v>
      </c>
      <c r="M258" t="s">
        <v>982</v>
      </c>
      <c r="N258" t="s">
        <v>179</v>
      </c>
      <c r="O258" t="s">
        <v>192</v>
      </c>
      <c r="Q258" t="s">
        <v>192</v>
      </c>
      <c r="S258" t="s">
        <v>194</v>
      </c>
      <c r="U258" t="s">
        <v>1117</v>
      </c>
      <c r="V258" t="s">
        <v>268</v>
      </c>
      <c r="X258" t="s">
        <v>269</v>
      </c>
      <c r="AE258" t="s">
        <v>273</v>
      </c>
      <c r="AG258" t="s">
        <v>277</v>
      </c>
      <c r="AI258" t="s">
        <v>345</v>
      </c>
      <c r="AK258">
        <v>0.6</v>
      </c>
      <c r="AM258">
        <v>1</v>
      </c>
      <c r="AO258" t="s">
        <v>1104</v>
      </c>
      <c r="AP258" t="s">
        <v>281</v>
      </c>
      <c r="AQ258" t="s">
        <v>283</v>
      </c>
      <c r="AR258" t="s">
        <v>537</v>
      </c>
      <c r="AS258" t="s">
        <v>1094</v>
      </c>
      <c r="AT258" t="s">
        <v>313</v>
      </c>
      <c r="AU258" t="s">
        <v>191</v>
      </c>
      <c r="AV258" s="30">
        <v>1</v>
      </c>
      <c r="AW258" t="s">
        <v>287</v>
      </c>
      <c r="AX258">
        <v>55</v>
      </c>
      <c r="AZ258" t="s">
        <v>829</v>
      </c>
      <c r="BA258">
        <v>2</v>
      </c>
      <c r="BB258" t="s">
        <v>289</v>
      </c>
      <c r="BC258" t="s">
        <v>239</v>
      </c>
      <c r="BE258" t="s">
        <v>434</v>
      </c>
      <c r="BF258" t="s">
        <v>293</v>
      </c>
      <c r="BG258" t="s">
        <v>299</v>
      </c>
      <c r="BH258" t="s">
        <v>281</v>
      </c>
      <c r="BI258">
        <v>2</v>
      </c>
      <c r="BJ258" t="s">
        <v>370</v>
      </c>
      <c r="BK258" t="s">
        <v>984</v>
      </c>
      <c r="BL258" t="s">
        <v>443</v>
      </c>
      <c r="BM258" t="s">
        <v>444</v>
      </c>
      <c r="BN258" t="str">
        <f>_xlfn.CONCAT(BL258:BM258)</f>
        <v>SILENCE_MUSIC</v>
      </c>
      <c r="BO258" t="s">
        <v>267</v>
      </c>
      <c r="BQ258" s="26">
        <v>13.5</v>
      </c>
      <c r="BR258">
        <v>13.5</v>
      </c>
      <c r="BS258" s="35">
        <v>1380.5309729999999</v>
      </c>
      <c r="BT258" s="35">
        <v>129.79351030000001</v>
      </c>
      <c r="BU258" s="35">
        <v>467.97715670000002</v>
      </c>
      <c r="BV258" s="35"/>
      <c r="BW258" s="35">
        <v>1427.7286140000001</v>
      </c>
      <c r="BX258" s="35">
        <v>156.34218290000001</v>
      </c>
      <c r="BY258" s="35">
        <v>563.69975690000001</v>
      </c>
      <c r="CB258" t="s">
        <v>268</v>
      </c>
      <c r="CD258" t="s">
        <v>268</v>
      </c>
      <c r="CE258" t="s">
        <v>267</v>
      </c>
      <c r="CF258" t="s">
        <v>309</v>
      </c>
      <c r="CG258" t="s">
        <v>268</v>
      </c>
      <c r="CI258" t="s">
        <v>268</v>
      </c>
      <c r="CK258" s="30">
        <f t="shared" si="36"/>
        <v>2</v>
      </c>
      <c r="CL258">
        <f t="shared" si="37"/>
        <v>7</v>
      </c>
    </row>
    <row r="259" spans="1:90" hidden="1" x14ac:dyDescent="0.35">
      <c r="A259" t="s">
        <v>1038</v>
      </c>
      <c r="B259" t="s">
        <v>978</v>
      </c>
      <c r="C259" t="s">
        <v>980</v>
      </c>
      <c r="D259" t="s">
        <v>979</v>
      </c>
      <c r="E259" t="s">
        <v>981</v>
      </c>
      <c r="F259">
        <v>2007</v>
      </c>
      <c r="G259" t="s">
        <v>453</v>
      </c>
      <c r="H259" t="s">
        <v>992</v>
      </c>
      <c r="I259" t="s">
        <v>331</v>
      </c>
      <c r="K259" t="s">
        <v>180</v>
      </c>
      <c r="L259" t="s">
        <v>181</v>
      </c>
      <c r="M259" t="s">
        <v>982</v>
      </c>
      <c r="N259" t="s">
        <v>179</v>
      </c>
      <c r="O259" t="s">
        <v>192</v>
      </c>
      <c r="Q259" t="s">
        <v>192</v>
      </c>
      <c r="S259" t="s">
        <v>194</v>
      </c>
      <c r="U259" t="s">
        <v>1117</v>
      </c>
      <c r="V259" t="s">
        <v>268</v>
      </c>
      <c r="X259" t="s">
        <v>269</v>
      </c>
      <c r="AE259" t="s">
        <v>273</v>
      </c>
      <c r="AG259" t="s">
        <v>277</v>
      </c>
      <c r="AI259" t="s">
        <v>345</v>
      </c>
      <c r="AK259">
        <v>0.6</v>
      </c>
      <c r="AM259">
        <v>1</v>
      </c>
      <c r="AO259" t="s">
        <v>1104</v>
      </c>
      <c r="AP259" t="s">
        <v>281</v>
      </c>
      <c r="AQ259" t="s">
        <v>283</v>
      </c>
      <c r="AR259" t="s">
        <v>537</v>
      </c>
      <c r="AS259" t="s">
        <v>1094</v>
      </c>
      <c r="AT259" t="s">
        <v>313</v>
      </c>
      <c r="AU259" t="s">
        <v>191</v>
      </c>
      <c r="AV259" s="30">
        <v>1</v>
      </c>
      <c r="AW259" t="s">
        <v>287</v>
      </c>
      <c r="AX259">
        <v>55</v>
      </c>
      <c r="AZ259" t="s">
        <v>829</v>
      </c>
      <c r="BA259">
        <v>2</v>
      </c>
      <c r="BB259" t="s">
        <v>289</v>
      </c>
      <c r="BC259" t="s">
        <v>239</v>
      </c>
      <c r="BD259" t="s">
        <v>971</v>
      </c>
      <c r="BE259" t="s">
        <v>765</v>
      </c>
      <c r="BF259" t="s">
        <v>293</v>
      </c>
      <c r="BG259" t="s">
        <v>299</v>
      </c>
      <c r="BH259" t="s">
        <v>281</v>
      </c>
      <c r="BI259">
        <v>2</v>
      </c>
      <c r="BJ259" t="s">
        <v>370</v>
      </c>
      <c r="BK259" t="s">
        <v>985</v>
      </c>
      <c r="BL259" t="s">
        <v>443</v>
      </c>
      <c r="BM259" t="s">
        <v>444</v>
      </c>
      <c r="BN259" t="str">
        <f t="shared" ref="BN259:BN281" si="38">_xlfn.CONCAT(BL259:BM259)</f>
        <v>SILENCE_MUSIC</v>
      </c>
      <c r="BO259" t="s">
        <v>267</v>
      </c>
      <c r="BQ259">
        <v>13.5</v>
      </c>
      <c r="BR259">
        <v>13.5</v>
      </c>
      <c r="BS259" s="35">
        <v>182.06278029999999</v>
      </c>
      <c r="BT259" s="35">
        <v>43.049327349999999</v>
      </c>
      <c r="BU259" s="35">
        <v>155.21655720000001</v>
      </c>
      <c r="BV259" s="35"/>
      <c r="BW259" s="35">
        <v>320.17937219999999</v>
      </c>
      <c r="BX259" s="35">
        <v>68.161434979999996</v>
      </c>
      <c r="BY259" s="35">
        <v>245.7595488</v>
      </c>
      <c r="CB259" t="s">
        <v>268</v>
      </c>
      <c r="CD259" t="s">
        <v>268</v>
      </c>
      <c r="CE259" t="s">
        <v>267</v>
      </c>
      <c r="CF259" t="s">
        <v>309</v>
      </c>
      <c r="CG259" t="s">
        <v>268</v>
      </c>
      <c r="CI259" t="s">
        <v>268</v>
      </c>
      <c r="CK259" s="30">
        <f t="shared" si="36"/>
        <v>2</v>
      </c>
      <c r="CL259">
        <f t="shared" si="37"/>
        <v>7</v>
      </c>
    </row>
    <row r="260" spans="1:90" hidden="1" x14ac:dyDescent="0.35">
      <c r="A260" t="s">
        <v>1039</v>
      </c>
      <c r="B260" t="s">
        <v>978</v>
      </c>
      <c r="C260" t="s">
        <v>980</v>
      </c>
      <c r="D260" t="s">
        <v>979</v>
      </c>
      <c r="E260" t="s">
        <v>981</v>
      </c>
      <c r="F260">
        <v>2007</v>
      </c>
      <c r="G260" t="s">
        <v>453</v>
      </c>
      <c r="H260" t="s">
        <v>992</v>
      </c>
      <c r="I260" t="s">
        <v>332</v>
      </c>
      <c r="K260" t="s">
        <v>180</v>
      </c>
      <c r="L260" t="s">
        <v>181</v>
      </c>
      <c r="M260" t="s">
        <v>982</v>
      </c>
      <c r="N260" t="s">
        <v>179</v>
      </c>
      <c r="O260" t="s">
        <v>192</v>
      </c>
      <c r="Q260" t="s">
        <v>192</v>
      </c>
      <c r="S260" t="s">
        <v>194</v>
      </c>
      <c r="U260" t="s">
        <v>1117</v>
      </c>
      <c r="V260" t="s">
        <v>268</v>
      </c>
      <c r="X260" t="s">
        <v>269</v>
      </c>
      <c r="AE260" t="s">
        <v>273</v>
      </c>
      <c r="AG260" t="s">
        <v>277</v>
      </c>
      <c r="AI260" t="s">
        <v>345</v>
      </c>
      <c r="AK260">
        <v>0.6</v>
      </c>
      <c r="AM260">
        <v>1</v>
      </c>
      <c r="AO260" t="s">
        <v>1104</v>
      </c>
      <c r="AP260" t="s">
        <v>281</v>
      </c>
      <c r="AQ260" t="s">
        <v>283</v>
      </c>
      <c r="AR260" t="s">
        <v>537</v>
      </c>
      <c r="AS260" t="s">
        <v>1094</v>
      </c>
      <c r="AT260" t="s">
        <v>313</v>
      </c>
      <c r="AU260" t="s">
        <v>191</v>
      </c>
      <c r="AV260" s="30">
        <v>1</v>
      </c>
      <c r="AW260" t="s">
        <v>287</v>
      </c>
      <c r="AX260">
        <v>55</v>
      </c>
      <c r="AZ260" t="s">
        <v>829</v>
      </c>
      <c r="BA260">
        <v>2</v>
      </c>
      <c r="BB260" t="s">
        <v>289</v>
      </c>
      <c r="BC260" t="s">
        <v>239</v>
      </c>
      <c r="BE260" t="s">
        <v>336</v>
      </c>
      <c r="BF260" t="s">
        <v>292</v>
      </c>
      <c r="BG260" t="s">
        <v>298</v>
      </c>
      <c r="BH260" t="s">
        <v>281</v>
      </c>
      <c r="BI260">
        <v>2</v>
      </c>
      <c r="BJ260" t="s">
        <v>370</v>
      </c>
      <c r="BK260" t="s">
        <v>986</v>
      </c>
      <c r="BL260" t="s">
        <v>443</v>
      </c>
      <c r="BM260" t="s">
        <v>444</v>
      </c>
      <c r="BN260" t="str">
        <f t="shared" si="38"/>
        <v>SILENCE_MUSIC</v>
      </c>
      <c r="BO260" t="s">
        <v>267</v>
      </c>
      <c r="BQ260" s="26">
        <v>13.5</v>
      </c>
      <c r="BR260">
        <v>13.5</v>
      </c>
      <c r="BS260" s="35">
        <v>10.56818182</v>
      </c>
      <c r="BT260" s="35">
        <v>2.2727272730000001</v>
      </c>
      <c r="BU260" s="35">
        <v>8.194434717</v>
      </c>
      <c r="BV260" s="35"/>
      <c r="BW260" s="35">
        <v>14.886363640000001</v>
      </c>
      <c r="BX260" s="35">
        <v>2.4431818179999998</v>
      </c>
      <c r="BY260" s="35">
        <v>8.8090173210000007</v>
      </c>
      <c r="CB260" t="s">
        <v>268</v>
      </c>
      <c r="CD260" t="s">
        <v>268</v>
      </c>
      <c r="CE260" t="s">
        <v>267</v>
      </c>
      <c r="CF260" t="s">
        <v>309</v>
      </c>
      <c r="CG260" t="s">
        <v>268</v>
      </c>
      <c r="CI260" t="s">
        <v>268</v>
      </c>
      <c r="CK260" s="30">
        <f t="shared" si="36"/>
        <v>2</v>
      </c>
      <c r="CL260">
        <f t="shared" si="37"/>
        <v>7</v>
      </c>
    </row>
    <row r="261" spans="1:90" hidden="1" x14ac:dyDescent="0.35">
      <c r="A261" t="s">
        <v>1040</v>
      </c>
      <c r="B261" t="s">
        <v>978</v>
      </c>
      <c r="C261" t="s">
        <v>980</v>
      </c>
      <c r="D261" t="s">
        <v>979</v>
      </c>
      <c r="E261" t="s">
        <v>981</v>
      </c>
      <c r="F261">
        <v>2007</v>
      </c>
      <c r="G261" t="s">
        <v>453</v>
      </c>
      <c r="H261" t="s">
        <v>992</v>
      </c>
      <c r="I261" t="s">
        <v>333</v>
      </c>
      <c r="K261" t="s">
        <v>180</v>
      </c>
      <c r="L261" t="s">
        <v>181</v>
      </c>
      <c r="M261" t="s">
        <v>982</v>
      </c>
      <c r="N261" t="s">
        <v>179</v>
      </c>
      <c r="O261" t="s">
        <v>192</v>
      </c>
      <c r="Q261" t="s">
        <v>192</v>
      </c>
      <c r="S261" t="s">
        <v>194</v>
      </c>
      <c r="U261" t="s">
        <v>1117</v>
      </c>
      <c r="V261" t="s">
        <v>268</v>
      </c>
      <c r="X261" t="s">
        <v>269</v>
      </c>
      <c r="AE261" t="s">
        <v>273</v>
      </c>
      <c r="AG261" t="s">
        <v>277</v>
      </c>
      <c r="AI261" t="s">
        <v>345</v>
      </c>
      <c r="AK261">
        <v>0.6</v>
      </c>
      <c r="AM261">
        <v>1</v>
      </c>
      <c r="AO261" t="s">
        <v>1104</v>
      </c>
      <c r="AP261" t="s">
        <v>281</v>
      </c>
      <c r="AQ261" t="s">
        <v>283</v>
      </c>
      <c r="AR261" t="s">
        <v>537</v>
      </c>
      <c r="AS261" t="s">
        <v>1094</v>
      </c>
      <c r="AT261" t="s">
        <v>313</v>
      </c>
      <c r="AU261" t="s">
        <v>191</v>
      </c>
      <c r="AV261" s="30">
        <v>1</v>
      </c>
      <c r="AW261" t="s">
        <v>287</v>
      </c>
      <c r="AX261">
        <v>55</v>
      </c>
      <c r="AZ261" t="s">
        <v>829</v>
      </c>
      <c r="BA261">
        <v>2</v>
      </c>
      <c r="BB261" t="s">
        <v>289</v>
      </c>
      <c r="BC261" t="s">
        <v>239</v>
      </c>
      <c r="BE261" t="s">
        <v>314</v>
      </c>
      <c r="BF261" t="s">
        <v>294</v>
      </c>
      <c r="BG261" t="s">
        <v>300</v>
      </c>
      <c r="BH261" t="s">
        <v>281</v>
      </c>
      <c r="BI261">
        <v>2</v>
      </c>
      <c r="BJ261" t="s">
        <v>370</v>
      </c>
      <c r="BK261" t="s">
        <v>987</v>
      </c>
      <c r="BL261" t="s">
        <v>443</v>
      </c>
      <c r="BM261" t="s">
        <v>444</v>
      </c>
      <c r="BN261" t="str">
        <f t="shared" si="38"/>
        <v>SILENCE_MUSIC</v>
      </c>
      <c r="BO261" t="s">
        <v>267</v>
      </c>
      <c r="BQ261">
        <v>13.5</v>
      </c>
      <c r="BR261">
        <v>13.5</v>
      </c>
      <c r="BS261" s="35">
        <v>6.9469835470000003</v>
      </c>
      <c r="BT261" s="35">
        <v>0.91407678199999998</v>
      </c>
      <c r="BU261" s="35">
        <v>3.295750709</v>
      </c>
      <c r="BV261" s="35"/>
      <c r="BW261" s="35">
        <v>6.7641681900000004</v>
      </c>
      <c r="BX261" s="35">
        <v>0.91407678199999998</v>
      </c>
      <c r="BY261" s="35">
        <v>3.295750709</v>
      </c>
      <c r="CB261" t="s">
        <v>268</v>
      </c>
      <c r="CD261" t="s">
        <v>268</v>
      </c>
      <c r="CE261" t="s">
        <v>267</v>
      </c>
      <c r="CF261" t="s">
        <v>309</v>
      </c>
      <c r="CG261" t="s">
        <v>268</v>
      </c>
      <c r="CI261" t="s">
        <v>268</v>
      </c>
      <c r="CK261" s="30">
        <f t="shared" si="36"/>
        <v>2</v>
      </c>
      <c r="CL261">
        <f t="shared" si="37"/>
        <v>7</v>
      </c>
    </row>
    <row r="262" spans="1:90" hidden="1" x14ac:dyDescent="0.35">
      <c r="A262" t="s">
        <v>1041</v>
      </c>
      <c r="B262" t="s">
        <v>978</v>
      </c>
      <c r="C262" t="s">
        <v>980</v>
      </c>
      <c r="D262" t="s">
        <v>979</v>
      </c>
      <c r="E262" t="s">
        <v>981</v>
      </c>
      <c r="F262">
        <v>2007</v>
      </c>
      <c r="G262" t="s">
        <v>454</v>
      </c>
      <c r="H262" t="s">
        <v>992</v>
      </c>
      <c r="I262" t="s">
        <v>176</v>
      </c>
      <c r="K262" t="s">
        <v>180</v>
      </c>
      <c r="L262" t="s">
        <v>181</v>
      </c>
      <c r="M262" t="s">
        <v>982</v>
      </c>
      <c r="N262" t="s">
        <v>179</v>
      </c>
      <c r="O262" t="s">
        <v>192</v>
      </c>
      <c r="Q262" t="s">
        <v>192</v>
      </c>
      <c r="S262" t="s">
        <v>194</v>
      </c>
      <c r="U262" t="s">
        <v>1117</v>
      </c>
      <c r="V262" t="s">
        <v>268</v>
      </c>
      <c r="X262" t="s">
        <v>269</v>
      </c>
      <c r="AE262" t="s">
        <v>273</v>
      </c>
      <c r="AG262" t="s">
        <v>277</v>
      </c>
      <c r="AI262" t="s">
        <v>345</v>
      </c>
      <c r="AK262">
        <v>0.6</v>
      </c>
      <c r="AM262">
        <v>1</v>
      </c>
      <c r="AO262" t="s">
        <v>1104</v>
      </c>
      <c r="AP262" t="s">
        <v>281</v>
      </c>
      <c r="AQ262" t="s">
        <v>283</v>
      </c>
      <c r="AR262" t="s">
        <v>537</v>
      </c>
      <c r="AS262" t="s">
        <v>1094</v>
      </c>
      <c r="AT262" t="s">
        <v>313</v>
      </c>
      <c r="AU262" t="s">
        <v>191</v>
      </c>
      <c r="AV262" s="30">
        <v>1</v>
      </c>
      <c r="AW262" t="s">
        <v>288</v>
      </c>
      <c r="AX262">
        <v>70</v>
      </c>
      <c r="AZ262" t="s">
        <v>191</v>
      </c>
      <c r="BA262">
        <v>1</v>
      </c>
      <c r="BB262" t="s">
        <v>289</v>
      </c>
      <c r="BC262" t="s">
        <v>239</v>
      </c>
      <c r="BE262" t="s">
        <v>434</v>
      </c>
      <c r="BF262" t="s">
        <v>293</v>
      </c>
      <c r="BG262" t="s">
        <v>299</v>
      </c>
      <c r="BH262" t="s">
        <v>281</v>
      </c>
      <c r="BI262">
        <v>2</v>
      </c>
      <c r="BJ262" t="s">
        <v>370</v>
      </c>
      <c r="BK262" t="s">
        <v>984</v>
      </c>
      <c r="BL262" t="s">
        <v>897</v>
      </c>
      <c r="BM262" t="s">
        <v>444</v>
      </c>
      <c r="BN262" t="str">
        <f t="shared" si="38"/>
        <v>WHITENOISE_MUSIC</v>
      </c>
      <c r="BO262" t="s">
        <v>267</v>
      </c>
      <c r="BQ262" s="26">
        <v>13.5</v>
      </c>
      <c r="BR262">
        <v>13.5</v>
      </c>
      <c r="BS262" s="35">
        <v>1477.8761059999999</v>
      </c>
      <c r="BT262" s="35">
        <v>159.2920354</v>
      </c>
      <c r="BU262" s="35">
        <v>574.33560139999997</v>
      </c>
      <c r="BV262" s="35"/>
      <c r="BW262" s="35">
        <v>1427.7286140000001</v>
      </c>
      <c r="BX262" s="35">
        <v>156.34218290000001</v>
      </c>
      <c r="BY262" s="35">
        <v>563.69975690000001</v>
      </c>
      <c r="CB262" t="s">
        <v>268</v>
      </c>
      <c r="CD262" t="s">
        <v>268</v>
      </c>
      <c r="CE262" t="s">
        <v>267</v>
      </c>
      <c r="CF262" t="s">
        <v>309</v>
      </c>
      <c r="CG262" t="s">
        <v>268</v>
      </c>
      <c r="CI262" t="s">
        <v>268</v>
      </c>
      <c r="CK262" s="30">
        <f t="shared" si="36"/>
        <v>2</v>
      </c>
      <c r="CL262">
        <f t="shared" si="37"/>
        <v>6</v>
      </c>
    </row>
    <row r="263" spans="1:90" hidden="1" x14ac:dyDescent="0.35">
      <c r="A263" t="s">
        <v>1042</v>
      </c>
      <c r="B263" t="s">
        <v>978</v>
      </c>
      <c r="C263" t="s">
        <v>980</v>
      </c>
      <c r="D263" t="s">
        <v>979</v>
      </c>
      <c r="E263" t="s">
        <v>981</v>
      </c>
      <c r="F263">
        <v>2007</v>
      </c>
      <c r="G263" t="s">
        <v>454</v>
      </c>
      <c r="H263" t="s">
        <v>992</v>
      </c>
      <c r="I263" t="s">
        <v>331</v>
      </c>
      <c r="K263" t="s">
        <v>180</v>
      </c>
      <c r="L263" t="s">
        <v>181</v>
      </c>
      <c r="M263" t="s">
        <v>982</v>
      </c>
      <c r="N263" t="s">
        <v>179</v>
      </c>
      <c r="O263" t="s">
        <v>192</v>
      </c>
      <c r="Q263" t="s">
        <v>192</v>
      </c>
      <c r="S263" t="s">
        <v>194</v>
      </c>
      <c r="U263" t="s">
        <v>1117</v>
      </c>
      <c r="V263" t="s">
        <v>268</v>
      </c>
      <c r="X263" t="s">
        <v>269</v>
      </c>
      <c r="AE263" t="s">
        <v>273</v>
      </c>
      <c r="AG263" t="s">
        <v>277</v>
      </c>
      <c r="AI263" t="s">
        <v>345</v>
      </c>
      <c r="AK263">
        <v>0.6</v>
      </c>
      <c r="AM263">
        <v>1</v>
      </c>
      <c r="AO263" t="s">
        <v>1104</v>
      </c>
      <c r="AP263" t="s">
        <v>281</v>
      </c>
      <c r="AQ263" t="s">
        <v>283</v>
      </c>
      <c r="AR263" t="s">
        <v>537</v>
      </c>
      <c r="AS263" t="s">
        <v>1094</v>
      </c>
      <c r="AT263" t="s">
        <v>313</v>
      </c>
      <c r="AU263" t="s">
        <v>191</v>
      </c>
      <c r="AV263" s="30">
        <v>1</v>
      </c>
      <c r="AW263" t="s">
        <v>288</v>
      </c>
      <c r="AX263">
        <v>70</v>
      </c>
      <c r="AZ263" t="s">
        <v>191</v>
      </c>
      <c r="BA263">
        <v>1</v>
      </c>
      <c r="BB263" t="s">
        <v>289</v>
      </c>
      <c r="BC263" t="s">
        <v>239</v>
      </c>
      <c r="BE263" t="s">
        <v>765</v>
      </c>
      <c r="BF263" t="s">
        <v>293</v>
      </c>
      <c r="BG263" t="s">
        <v>299</v>
      </c>
      <c r="BH263" t="s">
        <v>281</v>
      </c>
      <c r="BI263">
        <v>2</v>
      </c>
      <c r="BJ263" t="s">
        <v>370</v>
      </c>
      <c r="BK263" t="s">
        <v>985</v>
      </c>
      <c r="BL263" t="s">
        <v>897</v>
      </c>
      <c r="BM263" t="s">
        <v>444</v>
      </c>
      <c r="BN263" t="str">
        <f t="shared" si="38"/>
        <v>WHITENOISE_MUSIC</v>
      </c>
      <c r="BO263" t="s">
        <v>267</v>
      </c>
      <c r="BQ263">
        <v>13.5</v>
      </c>
      <c r="BR263">
        <v>13.5</v>
      </c>
      <c r="BS263" s="35">
        <v>240.35874440000001</v>
      </c>
      <c r="BT263" s="35">
        <v>61.883408070000002</v>
      </c>
      <c r="BU263" s="35">
        <v>223.12380089999999</v>
      </c>
      <c r="BV263" s="35"/>
      <c r="BW263" s="35">
        <v>320.17937219999999</v>
      </c>
      <c r="BX263" s="35">
        <v>68.161434979999996</v>
      </c>
      <c r="BY263" s="35">
        <v>245.7595488</v>
      </c>
      <c r="CB263" t="s">
        <v>268</v>
      </c>
      <c r="CD263" t="s">
        <v>268</v>
      </c>
      <c r="CE263" t="s">
        <v>267</v>
      </c>
      <c r="CF263" t="s">
        <v>309</v>
      </c>
      <c r="CG263" t="s">
        <v>268</v>
      </c>
      <c r="CI263" t="s">
        <v>268</v>
      </c>
      <c r="CK263" s="30">
        <f t="shared" si="36"/>
        <v>2</v>
      </c>
      <c r="CL263">
        <f t="shared" si="37"/>
        <v>6</v>
      </c>
    </row>
    <row r="264" spans="1:90" hidden="1" x14ac:dyDescent="0.35">
      <c r="A264" t="s">
        <v>1043</v>
      </c>
      <c r="B264" t="s">
        <v>978</v>
      </c>
      <c r="C264" t="s">
        <v>980</v>
      </c>
      <c r="D264" t="s">
        <v>979</v>
      </c>
      <c r="E264" t="s">
        <v>981</v>
      </c>
      <c r="F264">
        <v>2007</v>
      </c>
      <c r="G264" t="s">
        <v>454</v>
      </c>
      <c r="H264" t="s">
        <v>992</v>
      </c>
      <c r="I264" t="s">
        <v>332</v>
      </c>
      <c r="K264" t="s">
        <v>180</v>
      </c>
      <c r="L264" t="s">
        <v>181</v>
      </c>
      <c r="M264" t="s">
        <v>982</v>
      </c>
      <c r="N264" t="s">
        <v>179</v>
      </c>
      <c r="O264" t="s">
        <v>192</v>
      </c>
      <c r="Q264" t="s">
        <v>192</v>
      </c>
      <c r="S264" t="s">
        <v>194</v>
      </c>
      <c r="U264" t="s">
        <v>1117</v>
      </c>
      <c r="V264" t="s">
        <v>268</v>
      </c>
      <c r="X264" t="s">
        <v>269</v>
      </c>
      <c r="AE264" t="s">
        <v>273</v>
      </c>
      <c r="AG264" t="s">
        <v>277</v>
      </c>
      <c r="AI264" t="s">
        <v>345</v>
      </c>
      <c r="AK264">
        <v>0.6</v>
      </c>
      <c r="AM264">
        <v>1</v>
      </c>
      <c r="AO264" t="s">
        <v>1104</v>
      </c>
      <c r="AP264" t="s">
        <v>281</v>
      </c>
      <c r="AQ264" t="s">
        <v>283</v>
      </c>
      <c r="AR264" t="s">
        <v>537</v>
      </c>
      <c r="AS264" t="s">
        <v>1094</v>
      </c>
      <c r="AT264" t="s">
        <v>313</v>
      </c>
      <c r="AU264" t="s">
        <v>191</v>
      </c>
      <c r="AV264" s="30">
        <v>1</v>
      </c>
      <c r="AW264" t="s">
        <v>288</v>
      </c>
      <c r="AX264">
        <v>70</v>
      </c>
      <c r="AZ264" t="s">
        <v>191</v>
      </c>
      <c r="BA264">
        <v>1</v>
      </c>
      <c r="BB264" t="s">
        <v>289</v>
      </c>
      <c r="BC264" t="s">
        <v>239</v>
      </c>
      <c r="BE264" t="s">
        <v>336</v>
      </c>
      <c r="BF264" t="s">
        <v>292</v>
      </c>
      <c r="BG264" t="s">
        <v>298</v>
      </c>
      <c r="BH264" t="s">
        <v>281</v>
      </c>
      <c r="BI264">
        <v>2</v>
      </c>
      <c r="BJ264" t="s">
        <v>370</v>
      </c>
      <c r="BK264" t="s">
        <v>986</v>
      </c>
      <c r="BL264" t="s">
        <v>897</v>
      </c>
      <c r="BM264" t="s">
        <v>444</v>
      </c>
      <c r="BN264" t="str">
        <f t="shared" si="38"/>
        <v>WHITENOISE_MUSIC</v>
      </c>
      <c r="BO264" t="s">
        <v>267</v>
      </c>
      <c r="BQ264" s="26">
        <v>13.5</v>
      </c>
      <c r="BR264">
        <v>13.5</v>
      </c>
      <c r="BS264" s="35">
        <v>11.136363640000001</v>
      </c>
      <c r="BT264" s="35">
        <v>2.1022727269999999</v>
      </c>
      <c r="BU264" s="35">
        <v>7.5798521130000003</v>
      </c>
      <c r="BV264" s="35"/>
      <c r="BW264" s="35">
        <v>14.886363640000001</v>
      </c>
      <c r="BX264" s="35">
        <v>2.4431818179999998</v>
      </c>
      <c r="BY264" s="35">
        <v>8.8090173210000007</v>
      </c>
      <c r="CB264" t="s">
        <v>268</v>
      </c>
      <c r="CD264" t="s">
        <v>268</v>
      </c>
      <c r="CE264" t="s">
        <v>267</v>
      </c>
      <c r="CF264" t="s">
        <v>309</v>
      </c>
      <c r="CG264" t="s">
        <v>268</v>
      </c>
      <c r="CI264" t="s">
        <v>268</v>
      </c>
      <c r="CK264" s="30">
        <f t="shared" si="36"/>
        <v>2</v>
      </c>
      <c r="CL264">
        <f t="shared" si="37"/>
        <v>6</v>
      </c>
    </row>
    <row r="265" spans="1:90" ht="17" hidden="1" customHeight="1" x14ac:dyDescent="0.35">
      <c r="A265" t="s">
        <v>1044</v>
      </c>
      <c r="B265" t="s">
        <v>978</v>
      </c>
      <c r="C265" t="s">
        <v>980</v>
      </c>
      <c r="D265" t="s">
        <v>979</v>
      </c>
      <c r="E265" t="s">
        <v>981</v>
      </c>
      <c r="F265">
        <v>2007</v>
      </c>
      <c r="G265" t="s">
        <v>454</v>
      </c>
      <c r="H265" t="s">
        <v>992</v>
      </c>
      <c r="I265" t="s">
        <v>333</v>
      </c>
      <c r="K265" t="s">
        <v>180</v>
      </c>
      <c r="L265" t="s">
        <v>181</v>
      </c>
      <c r="M265" t="s">
        <v>982</v>
      </c>
      <c r="N265" t="s">
        <v>179</v>
      </c>
      <c r="O265" t="s">
        <v>192</v>
      </c>
      <c r="Q265" t="s">
        <v>192</v>
      </c>
      <c r="S265" t="s">
        <v>194</v>
      </c>
      <c r="U265" t="s">
        <v>1117</v>
      </c>
      <c r="V265" t="s">
        <v>268</v>
      </c>
      <c r="X265" t="s">
        <v>269</v>
      </c>
      <c r="AE265" t="s">
        <v>273</v>
      </c>
      <c r="AG265" t="s">
        <v>277</v>
      </c>
      <c r="AI265" t="s">
        <v>345</v>
      </c>
      <c r="AK265">
        <v>0.6</v>
      </c>
      <c r="AM265">
        <v>1</v>
      </c>
      <c r="AO265" t="s">
        <v>1104</v>
      </c>
      <c r="AP265" t="s">
        <v>281</v>
      </c>
      <c r="AQ265" t="s">
        <v>283</v>
      </c>
      <c r="AR265" t="s">
        <v>537</v>
      </c>
      <c r="AS265" t="s">
        <v>1094</v>
      </c>
      <c r="AT265" t="s">
        <v>313</v>
      </c>
      <c r="AU265" t="s">
        <v>191</v>
      </c>
      <c r="AV265" s="30">
        <v>1</v>
      </c>
      <c r="AW265" t="s">
        <v>288</v>
      </c>
      <c r="AX265">
        <v>70</v>
      </c>
      <c r="AZ265" t="s">
        <v>191</v>
      </c>
      <c r="BA265">
        <v>1</v>
      </c>
      <c r="BB265" t="s">
        <v>289</v>
      </c>
      <c r="BC265" t="s">
        <v>239</v>
      </c>
      <c r="BE265" t="s">
        <v>314</v>
      </c>
      <c r="BF265" t="s">
        <v>294</v>
      </c>
      <c r="BG265" t="s">
        <v>300</v>
      </c>
      <c r="BH265" t="s">
        <v>281</v>
      </c>
      <c r="BI265">
        <v>2</v>
      </c>
      <c r="BJ265" t="s">
        <v>370</v>
      </c>
      <c r="BK265" t="s">
        <v>987</v>
      </c>
      <c r="BL265" t="s">
        <v>897</v>
      </c>
      <c r="BM265" t="s">
        <v>444</v>
      </c>
      <c r="BN265" t="str">
        <f t="shared" si="38"/>
        <v>WHITENOISE_MUSIC</v>
      </c>
      <c r="BO265" t="s">
        <v>267</v>
      </c>
      <c r="BQ265">
        <v>13.5</v>
      </c>
      <c r="BR265">
        <v>13.5</v>
      </c>
      <c r="BS265" s="35">
        <v>6.837294333</v>
      </c>
      <c r="BT265" s="35">
        <v>0.95063985399999995</v>
      </c>
      <c r="BU265" s="35">
        <v>3.427580737</v>
      </c>
      <c r="BV265" s="35"/>
      <c r="BW265" s="35">
        <v>6.7641681900000004</v>
      </c>
      <c r="BX265" s="35">
        <v>0.91407678199999998</v>
      </c>
      <c r="BY265" s="35">
        <v>3.295750709</v>
      </c>
      <c r="CB265" t="s">
        <v>268</v>
      </c>
      <c r="CD265" t="s">
        <v>268</v>
      </c>
      <c r="CE265" t="s">
        <v>267</v>
      </c>
      <c r="CF265" t="s">
        <v>309</v>
      </c>
      <c r="CG265" t="s">
        <v>268</v>
      </c>
      <c r="CI265" t="s">
        <v>268</v>
      </c>
      <c r="CK265" s="30">
        <f t="shared" si="36"/>
        <v>2</v>
      </c>
      <c r="CL265">
        <f t="shared" si="37"/>
        <v>6</v>
      </c>
    </row>
    <row r="266" spans="1:90" hidden="1" x14ac:dyDescent="0.35">
      <c r="A266" t="s">
        <v>1045</v>
      </c>
      <c r="B266" t="s">
        <v>978</v>
      </c>
      <c r="C266" t="s">
        <v>980</v>
      </c>
      <c r="D266" t="s">
        <v>979</v>
      </c>
      <c r="E266" t="s">
        <v>981</v>
      </c>
      <c r="F266">
        <v>2007</v>
      </c>
      <c r="G266" t="s">
        <v>844</v>
      </c>
      <c r="I266" t="s">
        <v>332</v>
      </c>
      <c r="K266" t="s">
        <v>180</v>
      </c>
      <c r="L266" t="s">
        <v>181</v>
      </c>
      <c r="M266" t="s">
        <v>982</v>
      </c>
      <c r="N266" t="s">
        <v>193</v>
      </c>
      <c r="O266" t="s">
        <v>187</v>
      </c>
      <c r="P266" t="s">
        <v>983</v>
      </c>
      <c r="Q266" t="s">
        <v>187</v>
      </c>
      <c r="S266" t="s">
        <v>204</v>
      </c>
      <c r="U266" t="s">
        <v>1117</v>
      </c>
      <c r="V266" t="s">
        <v>267</v>
      </c>
      <c r="X266" t="s">
        <v>269</v>
      </c>
      <c r="AE266" t="s">
        <v>274</v>
      </c>
      <c r="AF266" t="s">
        <v>1006</v>
      </c>
      <c r="AG266" t="s">
        <v>277</v>
      </c>
      <c r="AI266" t="s">
        <v>345</v>
      </c>
      <c r="AK266">
        <v>0.6</v>
      </c>
      <c r="AM266">
        <v>1</v>
      </c>
      <c r="AO266" t="s">
        <v>1104</v>
      </c>
      <c r="AP266" t="s">
        <v>281</v>
      </c>
      <c r="AQ266" t="s">
        <v>283</v>
      </c>
      <c r="AR266" t="s">
        <v>537</v>
      </c>
      <c r="AS266" t="s">
        <v>1094</v>
      </c>
      <c r="AT266" t="s">
        <v>313</v>
      </c>
      <c r="AU266" t="s">
        <v>191</v>
      </c>
      <c r="AV266" s="30">
        <v>1</v>
      </c>
      <c r="AW266" t="s">
        <v>287</v>
      </c>
      <c r="AX266">
        <v>55</v>
      </c>
      <c r="AZ266" t="s">
        <v>829</v>
      </c>
      <c r="BA266">
        <v>2</v>
      </c>
      <c r="BB266" t="s">
        <v>289</v>
      </c>
      <c r="BC266" t="s">
        <v>239</v>
      </c>
      <c r="BE266" t="s">
        <v>434</v>
      </c>
      <c r="BF266" t="s">
        <v>293</v>
      </c>
      <c r="BG266" t="s">
        <v>299</v>
      </c>
      <c r="BH266" t="s">
        <v>281</v>
      </c>
      <c r="BI266">
        <v>2</v>
      </c>
      <c r="BJ266" t="s">
        <v>322</v>
      </c>
      <c r="BK266" t="s">
        <v>993</v>
      </c>
      <c r="BL266" t="s">
        <v>443</v>
      </c>
      <c r="BM266" t="s">
        <v>444</v>
      </c>
      <c r="BN266" t="str">
        <f t="shared" si="38"/>
        <v>SILENCE_MUSIC</v>
      </c>
      <c r="BO266" t="s">
        <v>267</v>
      </c>
      <c r="BQ266">
        <f>MEDIAN(11,14)</f>
        <v>12.5</v>
      </c>
      <c r="BR266">
        <f>MEDIAN(11,14)</f>
        <v>12.5</v>
      </c>
      <c r="BS266" s="35">
        <v>1027.227723</v>
      </c>
      <c r="BT266" s="35">
        <v>96.534653469999995</v>
      </c>
      <c r="BU266" s="35">
        <v>348.0606429</v>
      </c>
      <c r="BV266" s="35"/>
      <c r="BW266" s="35">
        <v>990.09900990000006</v>
      </c>
      <c r="BX266" s="35">
        <v>81.683168319999993</v>
      </c>
      <c r="BY266" s="35">
        <v>294.5128517</v>
      </c>
      <c r="CB266" t="s">
        <v>268</v>
      </c>
      <c r="CD266" t="s">
        <v>268</v>
      </c>
      <c r="CE266" t="s">
        <v>267</v>
      </c>
      <c r="CF266" t="s">
        <v>309</v>
      </c>
      <c r="CG266" t="s">
        <v>267</v>
      </c>
      <c r="CI266" t="s">
        <v>267</v>
      </c>
      <c r="CJ266" t="s">
        <v>997</v>
      </c>
      <c r="CK266" s="30">
        <f t="shared" si="36"/>
        <v>1</v>
      </c>
      <c r="CL266">
        <f t="shared" si="37"/>
        <v>6</v>
      </c>
    </row>
    <row r="267" spans="1:90" hidden="1" x14ac:dyDescent="0.35">
      <c r="A267" t="s">
        <v>1046</v>
      </c>
      <c r="B267" t="s">
        <v>978</v>
      </c>
      <c r="C267" t="s">
        <v>980</v>
      </c>
      <c r="D267" t="s">
        <v>979</v>
      </c>
      <c r="E267" t="s">
        <v>981</v>
      </c>
      <c r="F267">
        <v>2007</v>
      </c>
      <c r="G267" t="s">
        <v>844</v>
      </c>
      <c r="I267" t="s">
        <v>333</v>
      </c>
      <c r="K267" t="s">
        <v>180</v>
      </c>
      <c r="L267" t="s">
        <v>181</v>
      </c>
      <c r="M267" t="s">
        <v>982</v>
      </c>
      <c r="N267" t="s">
        <v>193</v>
      </c>
      <c r="O267" t="s">
        <v>187</v>
      </c>
      <c r="P267" t="s">
        <v>983</v>
      </c>
      <c r="Q267" t="s">
        <v>187</v>
      </c>
      <c r="S267" t="s">
        <v>204</v>
      </c>
      <c r="U267" t="s">
        <v>1117</v>
      </c>
      <c r="V267" t="s">
        <v>267</v>
      </c>
      <c r="X267" t="s">
        <v>269</v>
      </c>
      <c r="AE267" t="s">
        <v>274</v>
      </c>
      <c r="AF267" t="s">
        <v>1006</v>
      </c>
      <c r="AG267" t="s">
        <v>277</v>
      </c>
      <c r="AI267" t="s">
        <v>345</v>
      </c>
      <c r="AK267">
        <v>0.6</v>
      </c>
      <c r="AM267">
        <v>1</v>
      </c>
      <c r="AO267" t="s">
        <v>1104</v>
      </c>
      <c r="AP267" t="s">
        <v>281</v>
      </c>
      <c r="AQ267" t="s">
        <v>283</v>
      </c>
      <c r="AR267" t="s">
        <v>537</v>
      </c>
      <c r="AS267" t="s">
        <v>1094</v>
      </c>
      <c r="AT267" t="s">
        <v>313</v>
      </c>
      <c r="AU267" t="s">
        <v>191</v>
      </c>
      <c r="AV267" s="30">
        <v>1</v>
      </c>
      <c r="AW267" t="s">
        <v>287</v>
      </c>
      <c r="AX267">
        <v>55</v>
      </c>
      <c r="AZ267" t="s">
        <v>829</v>
      </c>
      <c r="BA267">
        <v>2</v>
      </c>
      <c r="BB267" t="s">
        <v>289</v>
      </c>
      <c r="BC267" t="s">
        <v>239</v>
      </c>
      <c r="BD267" t="s">
        <v>971</v>
      </c>
      <c r="BE267" t="s">
        <v>765</v>
      </c>
      <c r="BF267" t="s">
        <v>293</v>
      </c>
      <c r="BG267" t="s">
        <v>299</v>
      </c>
      <c r="BH267" t="s">
        <v>281</v>
      </c>
      <c r="BI267">
        <v>2</v>
      </c>
      <c r="BJ267" t="s">
        <v>322</v>
      </c>
      <c r="BK267" t="s">
        <v>994</v>
      </c>
      <c r="BL267" t="s">
        <v>443</v>
      </c>
      <c r="BM267" t="s">
        <v>444</v>
      </c>
      <c r="BN267" t="str">
        <f t="shared" si="38"/>
        <v>SILENCE_MUSIC</v>
      </c>
      <c r="BO267" t="s">
        <v>267</v>
      </c>
      <c r="BQ267">
        <f t="shared" ref="BQ267:BR273" si="39">MEDIAN(11,14)</f>
        <v>12.5</v>
      </c>
      <c r="BR267">
        <f t="shared" si="39"/>
        <v>12.5</v>
      </c>
      <c r="BS267" s="35">
        <v>130.2931596</v>
      </c>
      <c r="BT267" s="35">
        <v>18.241042350000001</v>
      </c>
      <c r="BU267" s="35">
        <v>65.769013490000006</v>
      </c>
      <c r="BV267" s="35"/>
      <c r="BW267" s="35">
        <v>237.7850163</v>
      </c>
      <c r="BX267" s="35">
        <v>28.664495110000001</v>
      </c>
      <c r="BY267" s="35">
        <v>103.3513069</v>
      </c>
      <c r="CB267" t="s">
        <v>268</v>
      </c>
      <c r="CD267" t="s">
        <v>268</v>
      </c>
      <c r="CE267" t="s">
        <v>267</v>
      </c>
      <c r="CF267" t="s">
        <v>309</v>
      </c>
      <c r="CG267" t="s">
        <v>267</v>
      </c>
      <c r="CI267" t="s">
        <v>267</v>
      </c>
      <c r="CJ267" t="s">
        <v>997</v>
      </c>
      <c r="CK267" s="30">
        <f t="shared" si="36"/>
        <v>1</v>
      </c>
      <c r="CL267">
        <f t="shared" si="37"/>
        <v>6</v>
      </c>
    </row>
    <row r="268" spans="1:90" hidden="1" x14ac:dyDescent="0.35">
      <c r="A268" t="s">
        <v>1047</v>
      </c>
      <c r="B268" t="s">
        <v>978</v>
      </c>
      <c r="C268" t="s">
        <v>980</v>
      </c>
      <c r="D268" t="s">
        <v>979</v>
      </c>
      <c r="E268" t="s">
        <v>981</v>
      </c>
      <c r="F268">
        <v>2007</v>
      </c>
      <c r="G268" t="s">
        <v>844</v>
      </c>
      <c r="I268" t="s">
        <v>334</v>
      </c>
      <c r="K268" t="s">
        <v>180</v>
      </c>
      <c r="L268" t="s">
        <v>181</v>
      </c>
      <c r="M268" t="s">
        <v>982</v>
      </c>
      <c r="N268" t="s">
        <v>193</v>
      </c>
      <c r="O268" t="s">
        <v>187</v>
      </c>
      <c r="P268" t="s">
        <v>983</v>
      </c>
      <c r="Q268" t="s">
        <v>187</v>
      </c>
      <c r="S268" t="s">
        <v>204</v>
      </c>
      <c r="U268" t="s">
        <v>1117</v>
      </c>
      <c r="V268" t="s">
        <v>267</v>
      </c>
      <c r="X268" t="s">
        <v>269</v>
      </c>
      <c r="AE268" t="s">
        <v>274</v>
      </c>
      <c r="AF268" t="s">
        <v>1006</v>
      </c>
      <c r="AG268" t="s">
        <v>277</v>
      </c>
      <c r="AI268" t="s">
        <v>345</v>
      </c>
      <c r="AK268">
        <v>0.6</v>
      </c>
      <c r="AM268">
        <v>1</v>
      </c>
      <c r="AO268" t="s">
        <v>1104</v>
      </c>
      <c r="AP268" t="s">
        <v>281</v>
      </c>
      <c r="AQ268" t="s">
        <v>283</v>
      </c>
      <c r="AR268" t="s">
        <v>537</v>
      </c>
      <c r="AS268" t="s">
        <v>1094</v>
      </c>
      <c r="AT268" t="s">
        <v>313</v>
      </c>
      <c r="AU268" t="s">
        <v>191</v>
      </c>
      <c r="AV268" s="30">
        <v>1</v>
      </c>
      <c r="AW268" t="s">
        <v>287</v>
      </c>
      <c r="AX268">
        <v>55</v>
      </c>
      <c r="AZ268" t="s">
        <v>829</v>
      </c>
      <c r="BA268">
        <v>2</v>
      </c>
      <c r="BB268" t="s">
        <v>289</v>
      </c>
      <c r="BC268" t="s">
        <v>239</v>
      </c>
      <c r="BE268" t="s">
        <v>336</v>
      </c>
      <c r="BF268" t="s">
        <v>292</v>
      </c>
      <c r="BG268" t="s">
        <v>298</v>
      </c>
      <c r="BH268" t="s">
        <v>281</v>
      </c>
      <c r="BI268">
        <v>2</v>
      </c>
      <c r="BJ268" t="s">
        <v>322</v>
      </c>
      <c r="BK268" t="s">
        <v>995</v>
      </c>
      <c r="BL268" t="s">
        <v>443</v>
      </c>
      <c r="BM268" t="s">
        <v>444</v>
      </c>
      <c r="BN268" t="str">
        <f t="shared" si="38"/>
        <v>SILENCE_MUSIC</v>
      </c>
      <c r="BO268" t="s">
        <v>267</v>
      </c>
      <c r="BQ268">
        <f t="shared" si="39"/>
        <v>12.5</v>
      </c>
      <c r="BR268">
        <f t="shared" si="39"/>
        <v>12.5</v>
      </c>
      <c r="BS268" s="35">
        <v>9.2709984149999993</v>
      </c>
      <c r="BT268" s="35">
        <v>1.3312202849999999</v>
      </c>
      <c r="BU268" s="35">
        <v>4.7997829970000003</v>
      </c>
      <c r="BV268" s="35"/>
      <c r="BW268" s="35">
        <v>19.58795563</v>
      </c>
      <c r="BX268" s="35">
        <v>2.4722662440000001</v>
      </c>
      <c r="BY268" s="35">
        <v>8.9138827099999993</v>
      </c>
      <c r="CB268" t="s">
        <v>268</v>
      </c>
      <c r="CD268" t="s">
        <v>268</v>
      </c>
      <c r="CE268" t="s">
        <v>267</v>
      </c>
      <c r="CF268" t="s">
        <v>309</v>
      </c>
      <c r="CG268" t="s">
        <v>267</v>
      </c>
      <c r="CI268" t="s">
        <v>267</v>
      </c>
      <c r="CJ268" t="s">
        <v>997</v>
      </c>
      <c r="CK268" s="30">
        <f t="shared" si="36"/>
        <v>1</v>
      </c>
      <c r="CL268">
        <f t="shared" si="37"/>
        <v>6</v>
      </c>
    </row>
    <row r="269" spans="1:90" hidden="1" x14ac:dyDescent="0.35">
      <c r="A269" t="s">
        <v>1048</v>
      </c>
      <c r="B269" t="s">
        <v>978</v>
      </c>
      <c r="C269" t="s">
        <v>980</v>
      </c>
      <c r="D269" t="s">
        <v>979</v>
      </c>
      <c r="E269" t="s">
        <v>981</v>
      </c>
      <c r="F269">
        <v>2007</v>
      </c>
      <c r="G269" t="s">
        <v>844</v>
      </c>
      <c r="I269" t="s">
        <v>335</v>
      </c>
      <c r="K269" t="s">
        <v>180</v>
      </c>
      <c r="L269" t="s">
        <v>181</v>
      </c>
      <c r="M269" t="s">
        <v>982</v>
      </c>
      <c r="N269" t="s">
        <v>193</v>
      </c>
      <c r="O269" t="s">
        <v>187</v>
      </c>
      <c r="P269" t="s">
        <v>983</v>
      </c>
      <c r="Q269" t="s">
        <v>187</v>
      </c>
      <c r="S269" t="s">
        <v>204</v>
      </c>
      <c r="U269" t="s">
        <v>1117</v>
      </c>
      <c r="V269" t="s">
        <v>267</v>
      </c>
      <c r="X269" t="s">
        <v>269</v>
      </c>
      <c r="AE269" t="s">
        <v>274</v>
      </c>
      <c r="AF269" t="s">
        <v>1006</v>
      </c>
      <c r="AG269" t="s">
        <v>277</v>
      </c>
      <c r="AI269" t="s">
        <v>345</v>
      </c>
      <c r="AK269">
        <v>0.6</v>
      </c>
      <c r="AM269">
        <v>1</v>
      </c>
      <c r="AO269" t="s">
        <v>1104</v>
      </c>
      <c r="AP269" t="s">
        <v>281</v>
      </c>
      <c r="AQ269" t="s">
        <v>283</v>
      </c>
      <c r="AR269" t="s">
        <v>537</v>
      </c>
      <c r="AS269" t="s">
        <v>1094</v>
      </c>
      <c r="AT269" t="s">
        <v>313</v>
      </c>
      <c r="AU269" t="s">
        <v>191</v>
      </c>
      <c r="AV269" s="30">
        <v>1</v>
      </c>
      <c r="AW269" t="s">
        <v>287</v>
      </c>
      <c r="AX269">
        <v>55</v>
      </c>
      <c r="AZ269" t="s">
        <v>829</v>
      </c>
      <c r="BA269">
        <v>2</v>
      </c>
      <c r="BB269" t="s">
        <v>289</v>
      </c>
      <c r="BC269" t="s">
        <v>239</v>
      </c>
      <c r="BE269" t="s">
        <v>314</v>
      </c>
      <c r="BF269" t="s">
        <v>294</v>
      </c>
      <c r="BG269" t="s">
        <v>300</v>
      </c>
      <c r="BH269" t="s">
        <v>281</v>
      </c>
      <c r="BI269">
        <v>2</v>
      </c>
      <c r="BJ269" t="s">
        <v>322</v>
      </c>
      <c r="BK269" t="s">
        <v>996</v>
      </c>
      <c r="BL269" t="s">
        <v>443</v>
      </c>
      <c r="BM269" t="s">
        <v>444</v>
      </c>
      <c r="BN269" t="str">
        <f t="shared" si="38"/>
        <v>SILENCE_MUSIC</v>
      </c>
      <c r="BO269" t="s">
        <v>267</v>
      </c>
      <c r="BQ269">
        <f t="shared" si="39"/>
        <v>12.5</v>
      </c>
      <c r="BR269">
        <f t="shared" si="39"/>
        <v>12.5</v>
      </c>
      <c r="BS269" s="35">
        <v>6.247288503</v>
      </c>
      <c r="BT269" s="35">
        <v>0.91106290700000003</v>
      </c>
      <c r="BU269" s="35">
        <v>3.2848840250000002</v>
      </c>
      <c r="BV269" s="35"/>
      <c r="BW269" s="35">
        <v>7.9067245120000003</v>
      </c>
      <c r="BX269" s="35">
        <v>1.2689804769999999</v>
      </c>
      <c r="BY269" s="35">
        <v>4.5753741779999997</v>
      </c>
      <c r="CB269" t="s">
        <v>268</v>
      </c>
      <c r="CD269" t="s">
        <v>268</v>
      </c>
      <c r="CE269" t="s">
        <v>267</v>
      </c>
      <c r="CF269" t="s">
        <v>309</v>
      </c>
      <c r="CG269" t="s">
        <v>267</v>
      </c>
      <c r="CI269" t="s">
        <v>267</v>
      </c>
      <c r="CJ269" t="s">
        <v>997</v>
      </c>
      <c r="CK269" s="30">
        <f t="shared" si="36"/>
        <v>1</v>
      </c>
      <c r="CL269">
        <f t="shared" si="37"/>
        <v>6</v>
      </c>
    </row>
    <row r="270" spans="1:90" hidden="1" x14ac:dyDescent="0.35">
      <c r="A270" t="s">
        <v>1049</v>
      </c>
      <c r="B270" t="s">
        <v>978</v>
      </c>
      <c r="C270" t="s">
        <v>980</v>
      </c>
      <c r="D270" t="s">
        <v>979</v>
      </c>
      <c r="E270" t="s">
        <v>981</v>
      </c>
      <c r="F270">
        <v>2007</v>
      </c>
      <c r="G270" t="s">
        <v>845</v>
      </c>
      <c r="I270" t="s">
        <v>332</v>
      </c>
      <c r="K270" t="s">
        <v>180</v>
      </c>
      <c r="L270" t="s">
        <v>181</v>
      </c>
      <c r="M270" t="s">
        <v>982</v>
      </c>
      <c r="N270" t="s">
        <v>193</v>
      </c>
      <c r="O270" t="s">
        <v>187</v>
      </c>
      <c r="P270" t="s">
        <v>983</v>
      </c>
      <c r="Q270" t="s">
        <v>187</v>
      </c>
      <c r="S270" t="s">
        <v>204</v>
      </c>
      <c r="U270" t="s">
        <v>1117</v>
      </c>
      <c r="V270" t="s">
        <v>267</v>
      </c>
      <c r="X270" t="s">
        <v>269</v>
      </c>
      <c r="AE270" t="s">
        <v>274</v>
      </c>
      <c r="AF270" t="s">
        <v>1006</v>
      </c>
      <c r="AG270" t="s">
        <v>277</v>
      </c>
      <c r="AI270" t="s">
        <v>345</v>
      </c>
      <c r="AK270">
        <v>0.6</v>
      </c>
      <c r="AM270">
        <v>1</v>
      </c>
      <c r="AO270" t="s">
        <v>1104</v>
      </c>
      <c r="AP270" t="s">
        <v>281</v>
      </c>
      <c r="AQ270" t="s">
        <v>283</v>
      </c>
      <c r="AR270" t="s">
        <v>537</v>
      </c>
      <c r="AS270" t="s">
        <v>1094</v>
      </c>
      <c r="AT270" t="s">
        <v>313</v>
      </c>
      <c r="AU270" t="s">
        <v>191</v>
      </c>
      <c r="AV270" s="30">
        <v>1</v>
      </c>
      <c r="AW270" t="s">
        <v>288</v>
      </c>
      <c r="AX270">
        <v>70</v>
      </c>
      <c r="AZ270" t="s">
        <v>191</v>
      </c>
      <c r="BA270">
        <v>1</v>
      </c>
      <c r="BB270" t="s">
        <v>289</v>
      </c>
      <c r="BC270" t="s">
        <v>239</v>
      </c>
      <c r="BE270" t="s">
        <v>434</v>
      </c>
      <c r="BF270" t="s">
        <v>293</v>
      </c>
      <c r="BG270" t="s">
        <v>299</v>
      </c>
      <c r="BH270" t="s">
        <v>281</v>
      </c>
      <c r="BI270">
        <v>2</v>
      </c>
      <c r="BJ270" t="s">
        <v>322</v>
      </c>
      <c r="BK270" t="s">
        <v>993</v>
      </c>
      <c r="BL270" t="s">
        <v>897</v>
      </c>
      <c r="BM270" t="s">
        <v>444</v>
      </c>
      <c r="BN270" t="str">
        <f t="shared" si="38"/>
        <v>WHITENOISE_MUSIC</v>
      </c>
      <c r="BO270" t="s">
        <v>267</v>
      </c>
      <c r="BQ270">
        <f t="shared" si="39"/>
        <v>12.5</v>
      </c>
      <c r="BR270">
        <f t="shared" si="39"/>
        <v>12.5</v>
      </c>
      <c r="BS270" s="35">
        <v>844.0594059</v>
      </c>
      <c r="BT270" s="35">
        <v>116.33663369999999</v>
      </c>
      <c r="BU270" s="35">
        <v>419.45769790000003</v>
      </c>
      <c r="BV270" s="35"/>
      <c r="BW270" s="35">
        <v>990.09900990000006</v>
      </c>
      <c r="BX270" s="35">
        <v>81.683168319999993</v>
      </c>
      <c r="BY270" s="35">
        <v>294.5128517</v>
      </c>
      <c r="CB270" t="s">
        <v>268</v>
      </c>
      <c r="CD270" t="s">
        <v>268</v>
      </c>
      <c r="CE270" t="s">
        <v>267</v>
      </c>
      <c r="CF270" t="s">
        <v>309</v>
      </c>
      <c r="CG270" t="s">
        <v>267</v>
      </c>
      <c r="CI270" t="s">
        <v>267</v>
      </c>
      <c r="CJ270" t="s">
        <v>997</v>
      </c>
      <c r="CK270" s="30">
        <f t="shared" si="36"/>
        <v>1</v>
      </c>
      <c r="CL270">
        <f t="shared" si="37"/>
        <v>5</v>
      </c>
    </row>
    <row r="271" spans="1:90" hidden="1" x14ac:dyDescent="0.35">
      <c r="A271" t="s">
        <v>1050</v>
      </c>
      <c r="B271" t="s">
        <v>978</v>
      </c>
      <c r="C271" t="s">
        <v>980</v>
      </c>
      <c r="D271" t="s">
        <v>979</v>
      </c>
      <c r="E271" t="s">
        <v>981</v>
      </c>
      <c r="F271">
        <v>2007</v>
      </c>
      <c r="G271" t="s">
        <v>845</v>
      </c>
      <c r="I271" t="s">
        <v>333</v>
      </c>
      <c r="K271" t="s">
        <v>180</v>
      </c>
      <c r="L271" t="s">
        <v>181</v>
      </c>
      <c r="M271" t="s">
        <v>982</v>
      </c>
      <c r="N271" t="s">
        <v>193</v>
      </c>
      <c r="O271" t="s">
        <v>187</v>
      </c>
      <c r="P271" t="s">
        <v>983</v>
      </c>
      <c r="Q271" t="s">
        <v>187</v>
      </c>
      <c r="S271" t="s">
        <v>204</v>
      </c>
      <c r="U271" t="s">
        <v>1117</v>
      </c>
      <c r="V271" t="s">
        <v>267</v>
      </c>
      <c r="X271" t="s">
        <v>269</v>
      </c>
      <c r="AE271" t="s">
        <v>274</v>
      </c>
      <c r="AF271" t="s">
        <v>1006</v>
      </c>
      <c r="AG271" t="s">
        <v>277</v>
      </c>
      <c r="AI271" t="s">
        <v>345</v>
      </c>
      <c r="AK271">
        <v>0.6</v>
      </c>
      <c r="AM271">
        <v>1</v>
      </c>
      <c r="AO271" t="s">
        <v>1104</v>
      </c>
      <c r="AP271" t="s">
        <v>281</v>
      </c>
      <c r="AQ271" t="s">
        <v>283</v>
      </c>
      <c r="AR271" t="s">
        <v>537</v>
      </c>
      <c r="AS271" t="s">
        <v>1094</v>
      </c>
      <c r="AT271" t="s">
        <v>313</v>
      </c>
      <c r="AU271" t="s">
        <v>191</v>
      </c>
      <c r="AV271" s="30">
        <v>1</v>
      </c>
      <c r="AW271" t="s">
        <v>288</v>
      </c>
      <c r="AX271">
        <v>70</v>
      </c>
      <c r="AZ271" t="s">
        <v>191</v>
      </c>
      <c r="BA271">
        <v>1</v>
      </c>
      <c r="BB271" t="s">
        <v>289</v>
      </c>
      <c r="BC271" t="s">
        <v>239</v>
      </c>
      <c r="BE271" t="s">
        <v>765</v>
      </c>
      <c r="BF271" t="s">
        <v>293</v>
      </c>
      <c r="BG271" t="s">
        <v>299</v>
      </c>
      <c r="BH271" t="s">
        <v>281</v>
      </c>
      <c r="BI271">
        <v>2</v>
      </c>
      <c r="BJ271" t="s">
        <v>322</v>
      </c>
      <c r="BK271" t="s">
        <v>994</v>
      </c>
      <c r="BL271" t="s">
        <v>897</v>
      </c>
      <c r="BM271" t="s">
        <v>444</v>
      </c>
      <c r="BN271" t="str">
        <f t="shared" si="38"/>
        <v>WHITENOISE_MUSIC</v>
      </c>
      <c r="BO271" t="s">
        <v>267</v>
      </c>
      <c r="BQ271">
        <f t="shared" si="39"/>
        <v>12.5</v>
      </c>
      <c r="BR271">
        <f t="shared" si="39"/>
        <v>12.5</v>
      </c>
      <c r="BS271" s="35">
        <v>132.247557</v>
      </c>
      <c r="BT271" s="35">
        <v>45.602605859999997</v>
      </c>
      <c r="BU271" s="35">
        <v>164.4225337</v>
      </c>
      <c r="BV271" s="35"/>
      <c r="BW271" s="35">
        <v>237.7850163</v>
      </c>
      <c r="BX271" s="35">
        <v>28.664495110000001</v>
      </c>
      <c r="BY271" s="35">
        <v>103.3513069</v>
      </c>
      <c r="CB271" t="s">
        <v>268</v>
      </c>
      <c r="CD271" t="s">
        <v>268</v>
      </c>
      <c r="CE271" t="s">
        <v>267</v>
      </c>
      <c r="CF271" t="s">
        <v>309</v>
      </c>
      <c r="CG271" t="s">
        <v>267</v>
      </c>
      <c r="CI271" t="s">
        <v>267</v>
      </c>
      <c r="CJ271" t="s">
        <v>997</v>
      </c>
      <c r="CK271" s="30">
        <f t="shared" si="36"/>
        <v>1</v>
      </c>
      <c r="CL271">
        <f t="shared" si="37"/>
        <v>5</v>
      </c>
    </row>
    <row r="272" spans="1:90" hidden="1" x14ac:dyDescent="0.35">
      <c r="A272" t="s">
        <v>1051</v>
      </c>
      <c r="B272" t="s">
        <v>978</v>
      </c>
      <c r="C272" t="s">
        <v>980</v>
      </c>
      <c r="D272" t="s">
        <v>979</v>
      </c>
      <c r="E272" t="s">
        <v>981</v>
      </c>
      <c r="F272">
        <v>2007</v>
      </c>
      <c r="G272" t="s">
        <v>845</v>
      </c>
      <c r="I272" t="s">
        <v>334</v>
      </c>
      <c r="K272" t="s">
        <v>180</v>
      </c>
      <c r="L272" t="s">
        <v>181</v>
      </c>
      <c r="M272" t="s">
        <v>982</v>
      </c>
      <c r="N272" t="s">
        <v>193</v>
      </c>
      <c r="O272" t="s">
        <v>187</v>
      </c>
      <c r="P272" t="s">
        <v>983</v>
      </c>
      <c r="Q272" t="s">
        <v>187</v>
      </c>
      <c r="S272" t="s">
        <v>204</v>
      </c>
      <c r="U272" t="s">
        <v>1117</v>
      </c>
      <c r="V272" t="s">
        <v>267</v>
      </c>
      <c r="X272" t="s">
        <v>269</v>
      </c>
      <c r="AE272" t="s">
        <v>274</v>
      </c>
      <c r="AF272" t="s">
        <v>1006</v>
      </c>
      <c r="AG272" t="s">
        <v>277</v>
      </c>
      <c r="AI272" t="s">
        <v>345</v>
      </c>
      <c r="AK272">
        <v>0.6</v>
      </c>
      <c r="AM272">
        <v>1</v>
      </c>
      <c r="AO272" t="s">
        <v>1104</v>
      </c>
      <c r="AP272" t="s">
        <v>281</v>
      </c>
      <c r="AQ272" t="s">
        <v>283</v>
      </c>
      <c r="AR272" t="s">
        <v>537</v>
      </c>
      <c r="AS272" t="s">
        <v>1094</v>
      </c>
      <c r="AT272" t="s">
        <v>313</v>
      </c>
      <c r="AU272" t="s">
        <v>191</v>
      </c>
      <c r="AV272" s="30">
        <v>1</v>
      </c>
      <c r="AW272" t="s">
        <v>288</v>
      </c>
      <c r="AX272">
        <v>70</v>
      </c>
      <c r="AZ272" t="s">
        <v>191</v>
      </c>
      <c r="BA272">
        <v>1</v>
      </c>
      <c r="BB272" t="s">
        <v>289</v>
      </c>
      <c r="BC272" t="s">
        <v>239</v>
      </c>
      <c r="BE272" t="s">
        <v>336</v>
      </c>
      <c r="BF272" t="s">
        <v>292</v>
      </c>
      <c r="BG272" t="s">
        <v>298</v>
      </c>
      <c r="BH272" t="s">
        <v>281</v>
      </c>
      <c r="BI272">
        <v>2</v>
      </c>
      <c r="BJ272" t="s">
        <v>322</v>
      </c>
      <c r="BK272" t="s">
        <v>995</v>
      </c>
      <c r="BL272" t="s">
        <v>897</v>
      </c>
      <c r="BM272" t="s">
        <v>444</v>
      </c>
      <c r="BN272" t="str">
        <f t="shared" si="38"/>
        <v>WHITENOISE_MUSIC</v>
      </c>
      <c r="BO272" t="s">
        <v>267</v>
      </c>
      <c r="BQ272">
        <f t="shared" si="39"/>
        <v>12.5</v>
      </c>
      <c r="BR272">
        <f t="shared" si="39"/>
        <v>12.5</v>
      </c>
      <c r="BS272" s="35">
        <v>9.080824089</v>
      </c>
      <c r="BT272" s="35">
        <v>2.9001584789999999</v>
      </c>
      <c r="BU272" s="35">
        <v>10.4566701</v>
      </c>
      <c r="BV272" s="35"/>
      <c r="BW272" s="35">
        <v>19.58795563</v>
      </c>
      <c r="BX272" s="35">
        <v>2.4722662440000001</v>
      </c>
      <c r="BY272" s="35">
        <v>8.9138827099999993</v>
      </c>
      <c r="CB272" t="s">
        <v>268</v>
      </c>
      <c r="CD272" t="s">
        <v>268</v>
      </c>
      <c r="CE272" t="s">
        <v>267</v>
      </c>
      <c r="CF272" t="s">
        <v>309</v>
      </c>
      <c r="CG272" t="s">
        <v>267</v>
      </c>
      <c r="CI272" t="s">
        <v>267</v>
      </c>
      <c r="CJ272" t="s">
        <v>997</v>
      </c>
      <c r="CK272" s="30">
        <f t="shared" si="36"/>
        <v>1</v>
      </c>
      <c r="CL272">
        <f t="shared" si="37"/>
        <v>5</v>
      </c>
    </row>
    <row r="273" spans="1:90" hidden="1" x14ac:dyDescent="0.35">
      <c r="A273" t="s">
        <v>1052</v>
      </c>
      <c r="B273" t="s">
        <v>978</v>
      </c>
      <c r="C273" t="s">
        <v>980</v>
      </c>
      <c r="D273" t="s">
        <v>979</v>
      </c>
      <c r="E273" t="s">
        <v>981</v>
      </c>
      <c r="F273">
        <v>2007</v>
      </c>
      <c r="G273" t="s">
        <v>845</v>
      </c>
      <c r="I273" t="s">
        <v>335</v>
      </c>
      <c r="K273" t="s">
        <v>180</v>
      </c>
      <c r="L273" t="s">
        <v>181</v>
      </c>
      <c r="M273" t="s">
        <v>982</v>
      </c>
      <c r="N273" t="s">
        <v>193</v>
      </c>
      <c r="O273" t="s">
        <v>187</v>
      </c>
      <c r="P273" t="s">
        <v>983</v>
      </c>
      <c r="Q273" t="s">
        <v>187</v>
      </c>
      <c r="S273" t="s">
        <v>204</v>
      </c>
      <c r="U273" t="s">
        <v>1117</v>
      </c>
      <c r="V273" t="s">
        <v>267</v>
      </c>
      <c r="X273" t="s">
        <v>269</v>
      </c>
      <c r="AE273" t="s">
        <v>274</v>
      </c>
      <c r="AF273" t="s">
        <v>1006</v>
      </c>
      <c r="AG273" t="s">
        <v>277</v>
      </c>
      <c r="AI273" t="s">
        <v>345</v>
      </c>
      <c r="AK273">
        <v>0.6</v>
      </c>
      <c r="AM273">
        <v>1</v>
      </c>
      <c r="AO273" t="s">
        <v>1104</v>
      </c>
      <c r="AP273" t="s">
        <v>281</v>
      </c>
      <c r="AQ273" t="s">
        <v>283</v>
      </c>
      <c r="AR273" t="s">
        <v>537</v>
      </c>
      <c r="AS273" t="s">
        <v>1094</v>
      </c>
      <c r="AT273" t="s">
        <v>313</v>
      </c>
      <c r="AU273" t="s">
        <v>191</v>
      </c>
      <c r="AV273" s="30">
        <v>1</v>
      </c>
      <c r="AW273" t="s">
        <v>288</v>
      </c>
      <c r="AX273">
        <v>70</v>
      </c>
      <c r="AZ273" t="s">
        <v>191</v>
      </c>
      <c r="BA273">
        <v>1</v>
      </c>
      <c r="BB273" t="s">
        <v>289</v>
      </c>
      <c r="BC273" t="s">
        <v>239</v>
      </c>
      <c r="BE273" t="s">
        <v>314</v>
      </c>
      <c r="BF273" t="s">
        <v>294</v>
      </c>
      <c r="BG273" t="s">
        <v>300</v>
      </c>
      <c r="BH273" t="s">
        <v>281</v>
      </c>
      <c r="BI273">
        <v>2</v>
      </c>
      <c r="BJ273" t="s">
        <v>322</v>
      </c>
      <c r="BK273" t="s">
        <v>996</v>
      </c>
      <c r="BL273" t="s">
        <v>897</v>
      </c>
      <c r="BM273" t="s">
        <v>444</v>
      </c>
      <c r="BN273" t="str">
        <f t="shared" si="38"/>
        <v>WHITENOISE_MUSIC</v>
      </c>
      <c r="BO273" t="s">
        <v>267</v>
      </c>
      <c r="BQ273">
        <f t="shared" si="39"/>
        <v>12.5</v>
      </c>
      <c r="BR273">
        <f t="shared" si="39"/>
        <v>12.5</v>
      </c>
      <c r="BS273" s="35">
        <v>7.0281995659999996</v>
      </c>
      <c r="BT273" s="35">
        <v>1.7895878519999999</v>
      </c>
      <c r="BU273" s="35">
        <v>6.4524507639999999</v>
      </c>
      <c r="BV273" s="35"/>
      <c r="BW273" s="35">
        <v>7.9067245120000003</v>
      </c>
      <c r="BX273" s="35">
        <v>1.2689804769999999</v>
      </c>
      <c r="BY273" s="35">
        <v>4.5753741779999997</v>
      </c>
      <c r="CB273" t="s">
        <v>268</v>
      </c>
      <c r="CD273" t="s">
        <v>268</v>
      </c>
      <c r="CE273" t="s">
        <v>267</v>
      </c>
      <c r="CF273" t="s">
        <v>309</v>
      </c>
      <c r="CG273" t="s">
        <v>267</v>
      </c>
      <c r="CI273" t="s">
        <v>267</v>
      </c>
      <c r="CJ273" t="s">
        <v>997</v>
      </c>
      <c r="CK273" s="30">
        <f t="shared" si="36"/>
        <v>1</v>
      </c>
      <c r="CL273">
        <f t="shared" si="37"/>
        <v>5</v>
      </c>
    </row>
    <row r="274" spans="1:90" hidden="1" x14ac:dyDescent="0.35">
      <c r="A274" t="s">
        <v>1053</v>
      </c>
      <c r="B274" t="s">
        <v>978</v>
      </c>
      <c r="C274" t="s">
        <v>980</v>
      </c>
      <c r="D274" t="s">
        <v>979</v>
      </c>
      <c r="E274" t="s">
        <v>981</v>
      </c>
      <c r="F274">
        <v>2007</v>
      </c>
      <c r="G274" t="s">
        <v>844</v>
      </c>
      <c r="I274" t="s">
        <v>491</v>
      </c>
      <c r="K274" t="s">
        <v>180</v>
      </c>
      <c r="L274" t="s">
        <v>181</v>
      </c>
      <c r="M274" t="s">
        <v>982</v>
      </c>
      <c r="N274" t="s">
        <v>193</v>
      </c>
      <c r="O274" t="s">
        <v>187</v>
      </c>
      <c r="P274" t="s">
        <v>983</v>
      </c>
      <c r="Q274" t="s">
        <v>187</v>
      </c>
      <c r="S274" t="s">
        <v>204</v>
      </c>
      <c r="U274" t="s">
        <v>1117</v>
      </c>
      <c r="V274" t="s">
        <v>267</v>
      </c>
      <c r="X274" t="s">
        <v>269</v>
      </c>
      <c r="AE274" t="s">
        <v>274</v>
      </c>
      <c r="AF274" t="s">
        <v>1006</v>
      </c>
      <c r="AG274" t="s">
        <v>277</v>
      </c>
      <c r="AI274" t="s">
        <v>345</v>
      </c>
      <c r="AK274">
        <v>0.6</v>
      </c>
      <c r="AM274">
        <v>1</v>
      </c>
      <c r="AO274" t="s">
        <v>1104</v>
      </c>
      <c r="AP274" t="s">
        <v>281</v>
      </c>
      <c r="AQ274" t="s">
        <v>283</v>
      </c>
      <c r="AR274" t="s">
        <v>537</v>
      </c>
      <c r="AS274" t="s">
        <v>1094</v>
      </c>
      <c r="AT274" t="s">
        <v>313</v>
      </c>
      <c r="AU274" t="s">
        <v>191</v>
      </c>
      <c r="AV274" s="30">
        <v>1</v>
      </c>
      <c r="AW274" t="s">
        <v>287</v>
      </c>
      <c r="AX274">
        <v>55</v>
      </c>
      <c r="AZ274" t="s">
        <v>829</v>
      </c>
      <c r="BA274">
        <v>2</v>
      </c>
      <c r="BB274" t="s">
        <v>289</v>
      </c>
      <c r="BC274" t="s">
        <v>247</v>
      </c>
      <c r="BE274" t="s">
        <v>998</v>
      </c>
      <c r="BF274" t="s">
        <v>291</v>
      </c>
      <c r="BG274" t="s">
        <v>297</v>
      </c>
      <c r="BH274" t="s">
        <v>281</v>
      </c>
      <c r="BI274">
        <v>2</v>
      </c>
      <c r="BJ274" t="s">
        <v>354</v>
      </c>
      <c r="BK274" t="s">
        <v>999</v>
      </c>
      <c r="BL274" t="s">
        <v>443</v>
      </c>
      <c r="BM274" t="s">
        <v>444</v>
      </c>
      <c r="BN274" t="str">
        <f t="shared" si="38"/>
        <v>SILENCE_MUSIC</v>
      </c>
      <c r="BO274" t="s">
        <v>267</v>
      </c>
      <c r="BQ274">
        <f>MEDIAN(12,17)</f>
        <v>14.5</v>
      </c>
      <c r="BR274">
        <f>MEDIAN(12,17)</f>
        <v>14.5</v>
      </c>
      <c r="BS274" s="35">
        <v>38.579654509999997</v>
      </c>
      <c r="BT274" s="35">
        <v>9.2130518230000007</v>
      </c>
      <c r="BU274" s="35">
        <v>33.21813075</v>
      </c>
      <c r="BV274" s="35"/>
      <c r="BW274" s="35">
        <v>73.992322459999997</v>
      </c>
      <c r="BX274" s="35">
        <v>11.22840691</v>
      </c>
      <c r="BY274" s="35">
        <v>40.484596860000003</v>
      </c>
      <c r="CB274" t="s">
        <v>268</v>
      </c>
      <c r="CD274" t="s">
        <v>268</v>
      </c>
      <c r="CE274" t="s">
        <v>267</v>
      </c>
      <c r="CF274" t="s">
        <v>309</v>
      </c>
      <c r="CG274" t="s">
        <v>267</v>
      </c>
      <c r="CI274" t="s">
        <v>267</v>
      </c>
      <c r="CJ274" t="s">
        <v>1008</v>
      </c>
      <c r="CK274" s="30">
        <f t="shared" si="36"/>
        <v>1</v>
      </c>
      <c r="CL274">
        <f t="shared" si="37"/>
        <v>6</v>
      </c>
    </row>
    <row r="275" spans="1:90" hidden="1" x14ac:dyDescent="0.35">
      <c r="A275" t="s">
        <v>1054</v>
      </c>
      <c r="B275" t="s">
        <v>978</v>
      </c>
      <c r="C275" t="s">
        <v>980</v>
      </c>
      <c r="D275" t="s">
        <v>979</v>
      </c>
      <c r="E275" t="s">
        <v>981</v>
      </c>
      <c r="F275">
        <v>2007</v>
      </c>
      <c r="G275" t="s">
        <v>844</v>
      </c>
      <c r="I275" t="s">
        <v>492</v>
      </c>
      <c r="K275" t="s">
        <v>180</v>
      </c>
      <c r="L275" t="s">
        <v>181</v>
      </c>
      <c r="M275" t="s">
        <v>982</v>
      </c>
      <c r="N275" t="s">
        <v>193</v>
      </c>
      <c r="O275" t="s">
        <v>187</v>
      </c>
      <c r="P275" t="s">
        <v>983</v>
      </c>
      <c r="Q275" t="s">
        <v>187</v>
      </c>
      <c r="S275" t="s">
        <v>204</v>
      </c>
      <c r="U275" t="s">
        <v>1117</v>
      </c>
      <c r="V275" t="s">
        <v>267</v>
      </c>
      <c r="X275" t="s">
        <v>269</v>
      </c>
      <c r="AE275" t="s">
        <v>274</v>
      </c>
      <c r="AF275" t="s">
        <v>1006</v>
      </c>
      <c r="AG275" t="s">
        <v>277</v>
      </c>
      <c r="AI275" t="s">
        <v>345</v>
      </c>
      <c r="AK275">
        <v>0.6</v>
      </c>
      <c r="AM275">
        <v>1</v>
      </c>
      <c r="AO275" t="s">
        <v>1104</v>
      </c>
      <c r="AP275" t="s">
        <v>281</v>
      </c>
      <c r="AQ275" t="s">
        <v>283</v>
      </c>
      <c r="AR275" t="s">
        <v>537</v>
      </c>
      <c r="AS275" t="s">
        <v>1094</v>
      </c>
      <c r="AT275" t="s">
        <v>313</v>
      </c>
      <c r="AU275" t="s">
        <v>191</v>
      </c>
      <c r="AV275" s="30">
        <v>1</v>
      </c>
      <c r="AW275" t="s">
        <v>287</v>
      </c>
      <c r="AX275">
        <v>55</v>
      </c>
      <c r="AZ275" t="s">
        <v>829</v>
      </c>
      <c r="BA275">
        <v>2</v>
      </c>
      <c r="BB275" t="s">
        <v>289</v>
      </c>
      <c r="BC275" t="s">
        <v>247</v>
      </c>
      <c r="BE275" t="s">
        <v>998</v>
      </c>
      <c r="BF275" t="s">
        <v>291</v>
      </c>
      <c r="BG275" t="s">
        <v>297</v>
      </c>
      <c r="BH275" t="s">
        <v>281</v>
      </c>
      <c r="BI275">
        <v>2</v>
      </c>
      <c r="BJ275" t="s">
        <v>354</v>
      </c>
      <c r="BK275" t="s">
        <v>999</v>
      </c>
      <c r="BL275" t="s">
        <v>443</v>
      </c>
      <c r="BM275" t="s">
        <v>444</v>
      </c>
      <c r="BN275" t="str">
        <f t="shared" si="38"/>
        <v>SILENCE_MUSIC</v>
      </c>
      <c r="BO275" t="s">
        <v>267</v>
      </c>
      <c r="BQ275">
        <f t="shared" ref="BQ275:BR277" si="40">MEDIAN(12,17)</f>
        <v>14.5</v>
      </c>
      <c r="BR275">
        <f t="shared" si="40"/>
        <v>14.5</v>
      </c>
      <c r="BS275" s="35">
        <v>25.623800379999999</v>
      </c>
      <c r="BT275" s="35">
        <v>7.7735124759999996</v>
      </c>
      <c r="BU275" s="35">
        <v>28.02779782</v>
      </c>
      <c r="BV275" s="35"/>
      <c r="BW275" s="35">
        <v>73.992322459999997</v>
      </c>
      <c r="BX275" s="35">
        <v>11.22840691</v>
      </c>
      <c r="BY275" s="35">
        <v>40.484596860000003</v>
      </c>
      <c r="CB275" t="s">
        <v>268</v>
      </c>
      <c r="CD275" t="s">
        <v>268</v>
      </c>
      <c r="CE275" t="s">
        <v>267</v>
      </c>
      <c r="CF275" t="s">
        <v>309</v>
      </c>
      <c r="CG275" t="s">
        <v>267</v>
      </c>
      <c r="CI275" t="s">
        <v>267</v>
      </c>
      <c r="CJ275" t="s">
        <v>1008</v>
      </c>
      <c r="CK275" s="30">
        <f t="shared" si="36"/>
        <v>1</v>
      </c>
      <c r="CL275">
        <f t="shared" si="37"/>
        <v>6</v>
      </c>
    </row>
    <row r="276" spans="1:90" hidden="1" x14ac:dyDescent="0.35">
      <c r="A276" t="s">
        <v>1055</v>
      </c>
      <c r="B276" t="s">
        <v>978</v>
      </c>
      <c r="C276" t="s">
        <v>980</v>
      </c>
      <c r="D276" t="s">
        <v>979</v>
      </c>
      <c r="E276" t="s">
        <v>981</v>
      </c>
      <c r="F276">
        <v>2007</v>
      </c>
      <c r="G276" t="s">
        <v>845</v>
      </c>
      <c r="I276" t="s">
        <v>491</v>
      </c>
      <c r="K276" t="s">
        <v>180</v>
      </c>
      <c r="L276" t="s">
        <v>181</v>
      </c>
      <c r="M276" t="s">
        <v>982</v>
      </c>
      <c r="N276" t="s">
        <v>193</v>
      </c>
      <c r="O276" t="s">
        <v>187</v>
      </c>
      <c r="P276" t="s">
        <v>983</v>
      </c>
      <c r="Q276" t="s">
        <v>187</v>
      </c>
      <c r="S276" t="s">
        <v>204</v>
      </c>
      <c r="U276" t="s">
        <v>1117</v>
      </c>
      <c r="V276" t="s">
        <v>267</v>
      </c>
      <c r="X276" t="s">
        <v>269</v>
      </c>
      <c r="AE276" t="s">
        <v>274</v>
      </c>
      <c r="AF276" t="s">
        <v>1006</v>
      </c>
      <c r="AG276" t="s">
        <v>277</v>
      </c>
      <c r="AI276" t="s">
        <v>345</v>
      </c>
      <c r="AK276">
        <v>0.6</v>
      </c>
      <c r="AM276">
        <v>1</v>
      </c>
      <c r="AO276" t="s">
        <v>1104</v>
      </c>
      <c r="AP276" t="s">
        <v>281</v>
      </c>
      <c r="AQ276" t="s">
        <v>283</v>
      </c>
      <c r="AR276" t="s">
        <v>537</v>
      </c>
      <c r="AS276" t="s">
        <v>1094</v>
      </c>
      <c r="AT276" t="s">
        <v>313</v>
      </c>
      <c r="AU276" t="s">
        <v>191</v>
      </c>
      <c r="AV276" s="30">
        <v>1</v>
      </c>
      <c r="AW276" t="s">
        <v>288</v>
      </c>
      <c r="AX276">
        <v>70</v>
      </c>
      <c r="AZ276" t="s">
        <v>191</v>
      </c>
      <c r="BA276">
        <v>1</v>
      </c>
      <c r="BB276" t="s">
        <v>289</v>
      </c>
      <c r="BC276" t="s">
        <v>247</v>
      </c>
      <c r="BE276" t="s">
        <v>295</v>
      </c>
      <c r="BF276" t="s">
        <v>291</v>
      </c>
      <c r="BG276" t="s">
        <v>297</v>
      </c>
      <c r="BH276" t="s">
        <v>281</v>
      </c>
      <c r="BI276">
        <v>2</v>
      </c>
      <c r="BJ276" t="s">
        <v>354</v>
      </c>
      <c r="BK276" t="s">
        <v>1000</v>
      </c>
      <c r="BL276" t="s">
        <v>897</v>
      </c>
      <c r="BM276" t="s">
        <v>444</v>
      </c>
      <c r="BN276" t="str">
        <f t="shared" si="38"/>
        <v>WHITENOISE_MUSIC</v>
      </c>
      <c r="BO276" t="s">
        <v>268</v>
      </c>
      <c r="BP276" t="s">
        <v>1001</v>
      </c>
      <c r="BQ276">
        <f t="shared" si="40"/>
        <v>14.5</v>
      </c>
      <c r="BR276">
        <f t="shared" si="40"/>
        <v>14.5</v>
      </c>
      <c r="BS276" s="35">
        <v>69.463869459999998</v>
      </c>
      <c r="BT276" s="35">
        <v>22.377622379999998</v>
      </c>
      <c r="BU276" s="35">
        <v>80.683664910000005</v>
      </c>
      <c r="BV276" s="35"/>
      <c r="BW276" s="35">
        <v>17.24941725</v>
      </c>
      <c r="BX276" s="35">
        <v>5.1282051280000003</v>
      </c>
      <c r="BY276" s="35">
        <v>18.49000654</v>
      </c>
      <c r="CB276" t="s">
        <v>268</v>
      </c>
      <c r="CD276" t="s">
        <v>268</v>
      </c>
      <c r="CE276" t="s">
        <v>267</v>
      </c>
      <c r="CF276" t="s">
        <v>309</v>
      </c>
      <c r="CG276" t="s">
        <v>267</v>
      </c>
      <c r="CI276" t="s">
        <v>267</v>
      </c>
      <c r="CJ276" t="s">
        <v>1008</v>
      </c>
      <c r="CK276" s="30">
        <f t="shared" si="36"/>
        <v>1</v>
      </c>
      <c r="CL276">
        <f t="shared" si="37"/>
        <v>5</v>
      </c>
    </row>
    <row r="277" spans="1:90" hidden="1" x14ac:dyDescent="0.35">
      <c r="A277" t="s">
        <v>1056</v>
      </c>
      <c r="B277" t="s">
        <v>978</v>
      </c>
      <c r="C277" t="s">
        <v>980</v>
      </c>
      <c r="D277" t="s">
        <v>979</v>
      </c>
      <c r="E277" t="s">
        <v>981</v>
      </c>
      <c r="F277">
        <v>2007</v>
      </c>
      <c r="G277" t="s">
        <v>845</v>
      </c>
      <c r="I277" t="s">
        <v>492</v>
      </c>
      <c r="K277" t="s">
        <v>180</v>
      </c>
      <c r="L277" t="s">
        <v>181</v>
      </c>
      <c r="M277" t="s">
        <v>982</v>
      </c>
      <c r="N277" t="s">
        <v>193</v>
      </c>
      <c r="O277" t="s">
        <v>187</v>
      </c>
      <c r="P277" t="s">
        <v>983</v>
      </c>
      <c r="Q277" t="s">
        <v>187</v>
      </c>
      <c r="S277" t="s">
        <v>204</v>
      </c>
      <c r="U277" t="s">
        <v>1117</v>
      </c>
      <c r="V277" t="s">
        <v>267</v>
      </c>
      <c r="X277" t="s">
        <v>269</v>
      </c>
      <c r="AE277" t="s">
        <v>274</v>
      </c>
      <c r="AF277" t="s">
        <v>1006</v>
      </c>
      <c r="AG277" t="s">
        <v>277</v>
      </c>
      <c r="AI277" t="s">
        <v>345</v>
      </c>
      <c r="AK277">
        <v>0.6</v>
      </c>
      <c r="AM277">
        <v>1</v>
      </c>
      <c r="AO277" t="s">
        <v>1104</v>
      </c>
      <c r="AP277" t="s">
        <v>281</v>
      </c>
      <c r="AQ277" t="s">
        <v>283</v>
      </c>
      <c r="AR277" t="s">
        <v>537</v>
      </c>
      <c r="AS277" t="s">
        <v>1094</v>
      </c>
      <c r="AT277" t="s">
        <v>313</v>
      </c>
      <c r="AU277" t="s">
        <v>191</v>
      </c>
      <c r="AV277" s="30">
        <v>1</v>
      </c>
      <c r="AW277" t="s">
        <v>288</v>
      </c>
      <c r="AX277">
        <v>70</v>
      </c>
      <c r="AZ277" t="s">
        <v>191</v>
      </c>
      <c r="BA277">
        <v>1</v>
      </c>
      <c r="BB277" t="s">
        <v>289</v>
      </c>
      <c r="BC277" t="s">
        <v>247</v>
      </c>
      <c r="BE277" t="s">
        <v>295</v>
      </c>
      <c r="BF277" t="s">
        <v>291</v>
      </c>
      <c r="BG277" t="s">
        <v>297</v>
      </c>
      <c r="BH277" t="s">
        <v>281</v>
      </c>
      <c r="BI277">
        <v>2</v>
      </c>
      <c r="BJ277" t="s">
        <v>354</v>
      </c>
      <c r="BK277" t="s">
        <v>1000</v>
      </c>
      <c r="BL277" t="s">
        <v>897</v>
      </c>
      <c r="BM277" t="s">
        <v>444</v>
      </c>
      <c r="BN277" t="str">
        <f t="shared" si="38"/>
        <v>WHITENOISE_MUSIC</v>
      </c>
      <c r="BO277" t="s">
        <v>268</v>
      </c>
      <c r="BQ277">
        <f t="shared" si="40"/>
        <v>14.5</v>
      </c>
      <c r="BR277">
        <f t="shared" si="40"/>
        <v>14.5</v>
      </c>
      <c r="BS277" s="35">
        <v>125.4079254</v>
      </c>
      <c r="BT277" s="35">
        <v>28.904428899999999</v>
      </c>
      <c r="BU277" s="35">
        <v>104.21640050000001</v>
      </c>
      <c r="BV277" s="35"/>
      <c r="BW277" s="35">
        <v>17.24941725</v>
      </c>
      <c r="BX277" s="35">
        <v>5.1282051280000003</v>
      </c>
      <c r="BY277" s="35">
        <v>18.49000654</v>
      </c>
      <c r="CB277" t="s">
        <v>268</v>
      </c>
      <c r="CD277" t="s">
        <v>268</v>
      </c>
      <c r="CE277" t="s">
        <v>267</v>
      </c>
      <c r="CF277" t="s">
        <v>309</v>
      </c>
      <c r="CG277" t="s">
        <v>267</v>
      </c>
      <c r="CI277" t="s">
        <v>267</v>
      </c>
      <c r="CJ277" t="s">
        <v>1008</v>
      </c>
      <c r="CK277" s="30">
        <f t="shared" si="36"/>
        <v>1</v>
      </c>
      <c r="CL277">
        <f t="shared" si="37"/>
        <v>5</v>
      </c>
    </row>
    <row r="278" spans="1:90" hidden="1" x14ac:dyDescent="0.35">
      <c r="A278" t="s">
        <v>1057</v>
      </c>
      <c r="B278" t="s">
        <v>978</v>
      </c>
      <c r="C278" t="s">
        <v>980</v>
      </c>
      <c r="D278" t="s">
        <v>979</v>
      </c>
      <c r="E278" t="s">
        <v>981</v>
      </c>
      <c r="F278">
        <v>2007</v>
      </c>
      <c r="G278" t="s">
        <v>844</v>
      </c>
      <c r="I278" t="s">
        <v>493</v>
      </c>
      <c r="K278" t="s">
        <v>180</v>
      </c>
      <c r="L278" t="s">
        <v>181</v>
      </c>
      <c r="M278" t="s">
        <v>982</v>
      </c>
      <c r="N278" t="s">
        <v>193</v>
      </c>
      <c r="O278" t="s">
        <v>187</v>
      </c>
      <c r="P278" t="s">
        <v>983</v>
      </c>
      <c r="Q278" t="s">
        <v>187</v>
      </c>
      <c r="S278" t="s">
        <v>204</v>
      </c>
      <c r="U278" t="s">
        <v>1117</v>
      </c>
      <c r="V278" t="s">
        <v>267</v>
      </c>
      <c r="X278" t="s">
        <v>269</v>
      </c>
      <c r="AE278" t="s">
        <v>274</v>
      </c>
      <c r="AF278" t="s">
        <v>1006</v>
      </c>
      <c r="AG278" t="s">
        <v>277</v>
      </c>
      <c r="AI278" t="s">
        <v>345</v>
      </c>
      <c r="AK278">
        <v>0.6</v>
      </c>
      <c r="AM278">
        <v>1</v>
      </c>
      <c r="AO278" t="s">
        <v>1104</v>
      </c>
      <c r="AP278" t="s">
        <v>281</v>
      </c>
      <c r="AQ278" t="s">
        <v>283</v>
      </c>
      <c r="AR278" t="s">
        <v>537</v>
      </c>
      <c r="AS278" t="s">
        <v>1094</v>
      </c>
      <c r="AT278" t="s">
        <v>313</v>
      </c>
      <c r="AU278" t="s">
        <v>191</v>
      </c>
      <c r="AV278" s="30">
        <v>1</v>
      </c>
      <c r="AW278" t="s">
        <v>287</v>
      </c>
      <c r="AX278">
        <v>55</v>
      </c>
      <c r="AZ278" t="s">
        <v>829</v>
      </c>
      <c r="BA278">
        <v>2</v>
      </c>
      <c r="BB278" t="s">
        <v>289</v>
      </c>
      <c r="BC278" t="s">
        <v>1002</v>
      </c>
      <c r="BE278" t="s">
        <v>1003</v>
      </c>
      <c r="BF278" t="s">
        <v>294</v>
      </c>
      <c r="BG278" t="s">
        <v>300</v>
      </c>
      <c r="BH278" t="s">
        <v>281</v>
      </c>
      <c r="BI278">
        <v>2</v>
      </c>
      <c r="BJ278" t="s">
        <v>498</v>
      </c>
      <c r="BK278" t="s">
        <v>1004</v>
      </c>
      <c r="BL278" t="s">
        <v>443</v>
      </c>
      <c r="BM278" t="s">
        <v>444</v>
      </c>
      <c r="BN278" t="str">
        <f t="shared" si="38"/>
        <v>SILENCE_MUSIC</v>
      </c>
      <c r="BO278" t="s">
        <v>268</v>
      </c>
      <c r="BP278" t="s">
        <v>1005</v>
      </c>
      <c r="BQ278">
        <f>MEDIAN(12,16)</f>
        <v>14</v>
      </c>
      <c r="BR278">
        <f>MEDIAN(12,16)</f>
        <v>14</v>
      </c>
      <c r="BS278" s="35">
        <v>9.0947368419999997</v>
      </c>
      <c r="BT278" s="35">
        <v>0.97894736800000004</v>
      </c>
      <c r="BU278" s="35">
        <v>3.5296449330000002</v>
      </c>
      <c r="BV278" s="35"/>
      <c r="BW278" s="35">
        <v>5.8736842109999996</v>
      </c>
      <c r="BX278" s="35">
        <v>0.821052632</v>
      </c>
      <c r="BY278" s="35">
        <v>2.9603473629999999</v>
      </c>
      <c r="CB278" t="s">
        <v>268</v>
      </c>
      <c r="CD278" t="s">
        <v>268</v>
      </c>
      <c r="CE278" t="s">
        <v>267</v>
      </c>
      <c r="CF278" t="s">
        <v>309</v>
      </c>
      <c r="CG278" t="s">
        <v>267</v>
      </c>
      <c r="CI278" t="s">
        <v>267</v>
      </c>
      <c r="CJ278" t="s">
        <v>997</v>
      </c>
      <c r="CK278" s="30">
        <f t="shared" si="36"/>
        <v>1</v>
      </c>
      <c r="CL278">
        <f t="shared" si="37"/>
        <v>6</v>
      </c>
    </row>
    <row r="279" spans="1:90" hidden="1" x14ac:dyDescent="0.35">
      <c r="A279" t="s">
        <v>1058</v>
      </c>
      <c r="B279" t="s">
        <v>978</v>
      </c>
      <c r="C279" t="s">
        <v>980</v>
      </c>
      <c r="D279" t="s">
        <v>979</v>
      </c>
      <c r="E279" t="s">
        <v>981</v>
      </c>
      <c r="F279">
        <v>2007</v>
      </c>
      <c r="G279" t="s">
        <v>845</v>
      </c>
      <c r="I279" t="s">
        <v>493</v>
      </c>
      <c r="K279" t="s">
        <v>180</v>
      </c>
      <c r="L279" t="s">
        <v>181</v>
      </c>
      <c r="M279" t="s">
        <v>982</v>
      </c>
      <c r="N279" t="s">
        <v>193</v>
      </c>
      <c r="O279" t="s">
        <v>187</v>
      </c>
      <c r="P279" t="s">
        <v>983</v>
      </c>
      <c r="Q279" t="s">
        <v>187</v>
      </c>
      <c r="S279" t="s">
        <v>204</v>
      </c>
      <c r="U279" t="s">
        <v>1117</v>
      </c>
      <c r="V279" t="s">
        <v>267</v>
      </c>
      <c r="X279" t="s">
        <v>269</v>
      </c>
      <c r="AE279" t="s">
        <v>274</v>
      </c>
      <c r="AF279" t="s">
        <v>1006</v>
      </c>
      <c r="AG279" t="s">
        <v>277</v>
      </c>
      <c r="AI279" t="s">
        <v>345</v>
      </c>
      <c r="AK279">
        <v>0.6</v>
      </c>
      <c r="AM279">
        <v>1</v>
      </c>
      <c r="AO279" t="s">
        <v>1104</v>
      </c>
      <c r="AP279" t="s">
        <v>281</v>
      </c>
      <c r="AQ279" t="s">
        <v>283</v>
      </c>
      <c r="AR279" t="s">
        <v>537</v>
      </c>
      <c r="AS279" t="s">
        <v>1094</v>
      </c>
      <c r="AT279" t="s">
        <v>313</v>
      </c>
      <c r="AU279" t="s">
        <v>191</v>
      </c>
      <c r="AV279" s="30">
        <v>1</v>
      </c>
      <c r="AW279" t="s">
        <v>288</v>
      </c>
      <c r="AX279">
        <v>70</v>
      </c>
      <c r="AZ279" t="s">
        <v>191</v>
      </c>
      <c r="BA279">
        <v>1</v>
      </c>
      <c r="BB279" t="s">
        <v>289</v>
      </c>
      <c r="BC279" t="s">
        <v>1002</v>
      </c>
      <c r="BE279" t="s">
        <v>1003</v>
      </c>
      <c r="BF279" t="s">
        <v>294</v>
      </c>
      <c r="BG279" t="s">
        <v>300</v>
      </c>
      <c r="BH279" t="s">
        <v>281</v>
      </c>
      <c r="BI279">
        <v>2</v>
      </c>
      <c r="BJ279" t="s">
        <v>767</v>
      </c>
      <c r="BK279" t="s">
        <v>1004</v>
      </c>
      <c r="BL279" t="s">
        <v>897</v>
      </c>
      <c r="BM279" t="s">
        <v>444</v>
      </c>
      <c r="BN279" t="str">
        <f t="shared" si="38"/>
        <v>WHITENOISE_MUSIC</v>
      </c>
      <c r="BO279" t="s">
        <v>268</v>
      </c>
      <c r="BQ279">
        <f>MEDIAN(12,16)</f>
        <v>14</v>
      </c>
      <c r="BR279">
        <f>MEDIAN(12,16)</f>
        <v>14</v>
      </c>
      <c r="BS279" s="35">
        <v>9.2210526319999992</v>
      </c>
      <c r="BT279" s="35">
        <v>0.88421052600000005</v>
      </c>
      <c r="BU279" s="35">
        <v>3.188066391</v>
      </c>
      <c r="BV279" s="35"/>
      <c r="BW279" s="35">
        <v>5.8736842109999996</v>
      </c>
      <c r="BX279" s="35">
        <v>0.821052632</v>
      </c>
      <c r="BY279" s="35">
        <v>2.9603473629999999</v>
      </c>
      <c r="CB279" t="s">
        <v>268</v>
      </c>
      <c r="CD279" t="s">
        <v>268</v>
      </c>
      <c r="CE279" t="s">
        <v>267</v>
      </c>
      <c r="CF279" t="s">
        <v>309</v>
      </c>
      <c r="CG279" t="s">
        <v>267</v>
      </c>
      <c r="CI279" t="s">
        <v>267</v>
      </c>
      <c r="CJ279" t="s">
        <v>997</v>
      </c>
      <c r="CK279" s="30">
        <f t="shared" si="36"/>
        <v>1</v>
      </c>
      <c r="CL279">
        <f t="shared" si="37"/>
        <v>5</v>
      </c>
    </row>
    <row r="280" spans="1:90" hidden="1" x14ac:dyDescent="0.35">
      <c r="A280" t="s">
        <v>1059</v>
      </c>
      <c r="B280" t="s">
        <v>978</v>
      </c>
      <c r="C280" t="s">
        <v>980</v>
      </c>
      <c r="D280" t="s">
        <v>979</v>
      </c>
      <c r="E280" t="s">
        <v>981</v>
      </c>
      <c r="F280">
        <v>2007</v>
      </c>
      <c r="G280" t="s">
        <v>461</v>
      </c>
      <c r="I280" t="s">
        <v>176</v>
      </c>
      <c r="K280" t="s">
        <v>180</v>
      </c>
      <c r="L280" t="s">
        <v>181</v>
      </c>
      <c r="M280" t="s">
        <v>982</v>
      </c>
      <c r="N280" t="s">
        <v>193</v>
      </c>
      <c r="O280" t="s">
        <v>187</v>
      </c>
      <c r="P280" t="s">
        <v>983</v>
      </c>
      <c r="Q280" t="s">
        <v>187</v>
      </c>
      <c r="S280" t="s">
        <v>204</v>
      </c>
      <c r="U280" t="s">
        <v>1117</v>
      </c>
      <c r="V280" t="s">
        <v>267</v>
      </c>
      <c r="X280" t="s">
        <v>269</v>
      </c>
      <c r="AE280" t="s">
        <v>274</v>
      </c>
      <c r="AF280" t="s">
        <v>1007</v>
      </c>
      <c r="AG280" t="s">
        <v>277</v>
      </c>
      <c r="AI280" t="s">
        <v>345</v>
      </c>
      <c r="AK280">
        <v>0.6</v>
      </c>
      <c r="AM280">
        <v>1</v>
      </c>
      <c r="AO280" t="s">
        <v>1104</v>
      </c>
      <c r="AP280" t="s">
        <v>281</v>
      </c>
      <c r="AQ280" t="s">
        <v>283</v>
      </c>
      <c r="AR280" t="s">
        <v>537</v>
      </c>
      <c r="AS280" t="s">
        <v>1094</v>
      </c>
      <c r="AT280" t="s">
        <v>313</v>
      </c>
      <c r="AU280" t="s">
        <v>191</v>
      </c>
      <c r="AV280" s="30">
        <v>1</v>
      </c>
      <c r="AW280" t="s">
        <v>287</v>
      </c>
      <c r="AX280">
        <v>55</v>
      </c>
      <c r="AZ280" t="s">
        <v>829</v>
      </c>
      <c r="BA280">
        <v>2</v>
      </c>
      <c r="BB280" t="s">
        <v>289</v>
      </c>
      <c r="BC280" t="s">
        <v>243</v>
      </c>
      <c r="BE280" t="s">
        <v>434</v>
      </c>
      <c r="BF280" t="s">
        <v>293</v>
      </c>
      <c r="BG280" t="s">
        <v>299</v>
      </c>
      <c r="BH280" t="s">
        <v>281</v>
      </c>
      <c r="BI280">
        <v>2</v>
      </c>
      <c r="BJ280" t="s">
        <v>1011</v>
      </c>
      <c r="BK280" t="s">
        <v>1015</v>
      </c>
      <c r="BL280" t="s">
        <v>443</v>
      </c>
      <c r="BM280" t="s">
        <v>444</v>
      </c>
      <c r="BN280" t="str">
        <f t="shared" si="38"/>
        <v>SILENCE_MUSIC</v>
      </c>
      <c r="BO280" t="s">
        <v>267</v>
      </c>
      <c r="BQ280">
        <f>MEDIAN(12,14)</f>
        <v>13</v>
      </c>
      <c r="BR280">
        <f>MEDIAN(12,14)</f>
        <v>13</v>
      </c>
      <c r="BS280" s="35">
        <v>4532.1428569999998</v>
      </c>
      <c r="BT280" s="35">
        <v>342.85714289999999</v>
      </c>
      <c r="BU280" s="35">
        <v>1282.853961</v>
      </c>
      <c r="BV280" s="35"/>
      <c r="BW280" s="35">
        <v>4478.5714289999996</v>
      </c>
      <c r="BX280" s="35">
        <v>332.14285710000001</v>
      </c>
      <c r="BY280" s="35">
        <v>1242.7647750000001</v>
      </c>
      <c r="CB280" t="s">
        <v>268</v>
      </c>
      <c r="CD280" t="s">
        <v>268</v>
      </c>
      <c r="CE280" t="s">
        <v>267</v>
      </c>
      <c r="CF280" t="s">
        <v>309</v>
      </c>
      <c r="CG280" t="s">
        <v>267</v>
      </c>
      <c r="CI280" t="s">
        <v>267</v>
      </c>
      <c r="CJ280" t="s">
        <v>997</v>
      </c>
      <c r="CK280" s="30">
        <f t="shared" si="36"/>
        <v>1</v>
      </c>
      <c r="CL280">
        <f t="shared" si="37"/>
        <v>6</v>
      </c>
    </row>
    <row r="281" spans="1:90" hidden="1" x14ac:dyDescent="0.35">
      <c r="A281" t="s">
        <v>1060</v>
      </c>
      <c r="B281" t="s">
        <v>978</v>
      </c>
      <c r="C281" t="s">
        <v>980</v>
      </c>
      <c r="D281" t="s">
        <v>979</v>
      </c>
      <c r="E281" t="s">
        <v>981</v>
      </c>
      <c r="F281">
        <v>2007</v>
      </c>
      <c r="G281" t="s">
        <v>462</v>
      </c>
      <c r="I281" t="s">
        <v>176</v>
      </c>
      <c r="K281" t="s">
        <v>180</v>
      </c>
      <c r="L281" t="s">
        <v>181</v>
      </c>
      <c r="M281" t="s">
        <v>982</v>
      </c>
      <c r="N281" t="s">
        <v>193</v>
      </c>
      <c r="O281" t="s">
        <v>187</v>
      </c>
      <c r="P281" t="s">
        <v>983</v>
      </c>
      <c r="Q281" t="s">
        <v>187</v>
      </c>
      <c r="S281" t="s">
        <v>204</v>
      </c>
      <c r="U281" t="s">
        <v>1117</v>
      </c>
      <c r="V281" t="s">
        <v>267</v>
      </c>
      <c r="X281" t="s">
        <v>269</v>
      </c>
      <c r="AE281" t="s">
        <v>274</v>
      </c>
      <c r="AF281" t="s">
        <v>1007</v>
      </c>
      <c r="AG281" t="s">
        <v>277</v>
      </c>
      <c r="AI281" t="s">
        <v>345</v>
      </c>
      <c r="AK281">
        <v>0.6</v>
      </c>
      <c r="AM281">
        <v>1</v>
      </c>
      <c r="AO281" t="s">
        <v>1104</v>
      </c>
      <c r="AP281" t="s">
        <v>281</v>
      </c>
      <c r="AQ281" t="s">
        <v>283</v>
      </c>
      <c r="AR281" t="s">
        <v>537</v>
      </c>
      <c r="AS281" t="s">
        <v>1094</v>
      </c>
      <c r="AT281" t="s">
        <v>313</v>
      </c>
      <c r="AU281" t="s">
        <v>191</v>
      </c>
      <c r="AV281" s="30">
        <v>1</v>
      </c>
      <c r="AW281" t="s">
        <v>288</v>
      </c>
      <c r="AX281">
        <v>70</v>
      </c>
      <c r="AZ281" t="s">
        <v>191</v>
      </c>
      <c r="BA281">
        <v>1</v>
      </c>
      <c r="BB281" t="s">
        <v>289</v>
      </c>
      <c r="BC281" t="s">
        <v>243</v>
      </c>
      <c r="BE281" t="s">
        <v>1009</v>
      </c>
      <c r="BF281" t="s">
        <v>293</v>
      </c>
      <c r="BG281" t="s">
        <v>299</v>
      </c>
      <c r="BH281" t="s">
        <v>281</v>
      </c>
      <c r="BI281">
        <v>2</v>
      </c>
      <c r="BJ281" t="s">
        <v>1011</v>
      </c>
      <c r="BK281" t="s">
        <v>1015</v>
      </c>
      <c r="BL281" t="s">
        <v>897</v>
      </c>
      <c r="BM281" t="s">
        <v>444</v>
      </c>
      <c r="BN281" t="str">
        <f t="shared" si="38"/>
        <v>WHITENOISE_MUSIC</v>
      </c>
      <c r="BO281" t="s">
        <v>267</v>
      </c>
      <c r="BQ281">
        <f t="shared" ref="BQ281:BR283" si="41">MEDIAN(12,14)</f>
        <v>13</v>
      </c>
      <c r="BR281">
        <f t="shared" si="41"/>
        <v>13</v>
      </c>
      <c r="BS281" s="35">
        <v>4725</v>
      </c>
      <c r="BT281" s="35">
        <v>267.85714289999999</v>
      </c>
      <c r="BU281" s="35">
        <v>1002.229657</v>
      </c>
      <c r="BV281" s="35"/>
      <c r="BW281" s="35">
        <v>4478.5714289999996</v>
      </c>
      <c r="BX281" s="35">
        <v>332.14285710000001</v>
      </c>
      <c r="BY281" s="35">
        <v>1242.7647750000001</v>
      </c>
      <c r="CB281" t="s">
        <v>268</v>
      </c>
      <c r="CD281" t="s">
        <v>268</v>
      </c>
      <c r="CE281" t="s">
        <v>267</v>
      </c>
      <c r="CF281" t="s">
        <v>309</v>
      </c>
      <c r="CG281" t="s">
        <v>267</v>
      </c>
      <c r="CI281" t="s">
        <v>267</v>
      </c>
      <c r="CJ281" t="s">
        <v>997</v>
      </c>
      <c r="CK281" s="30">
        <f t="shared" si="36"/>
        <v>1</v>
      </c>
      <c r="CL281">
        <f t="shared" si="37"/>
        <v>5</v>
      </c>
    </row>
    <row r="282" spans="1:90" hidden="1" x14ac:dyDescent="0.35">
      <c r="A282" t="s">
        <v>1061</v>
      </c>
      <c r="B282" t="s">
        <v>978</v>
      </c>
      <c r="C282" t="s">
        <v>980</v>
      </c>
      <c r="D282" t="s">
        <v>979</v>
      </c>
      <c r="E282" t="s">
        <v>981</v>
      </c>
      <c r="F282">
        <v>2007</v>
      </c>
      <c r="G282" t="s">
        <v>461</v>
      </c>
      <c r="I282" t="s">
        <v>331</v>
      </c>
      <c r="K282" t="s">
        <v>180</v>
      </c>
      <c r="L282" t="s">
        <v>181</v>
      </c>
      <c r="M282" t="s">
        <v>982</v>
      </c>
      <c r="N282" t="s">
        <v>193</v>
      </c>
      <c r="O282" t="s">
        <v>187</v>
      </c>
      <c r="P282" t="s">
        <v>983</v>
      </c>
      <c r="Q282" t="s">
        <v>187</v>
      </c>
      <c r="S282" t="s">
        <v>204</v>
      </c>
      <c r="U282" t="s">
        <v>1117</v>
      </c>
      <c r="V282" t="s">
        <v>267</v>
      </c>
      <c r="X282" t="s">
        <v>269</v>
      </c>
      <c r="AE282" t="s">
        <v>274</v>
      </c>
      <c r="AF282" t="s">
        <v>1007</v>
      </c>
      <c r="AG282" t="s">
        <v>277</v>
      </c>
      <c r="AI282" t="s">
        <v>345</v>
      </c>
      <c r="AK282">
        <v>0.6</v>
      </c>
      <c r="AM282">
        <v>1</v>
      </c>
      <c r="AO282" t="s">
        <v>1104</v>
      </c>
      <c r="AP282" t="s">
        <v>281</v>
      </c>
      <c r="AQ282" t="s">
        <v>283</v>
      </c>
      <c r="AR282" t="s">
        <v>537</v>
      </c>
      <c r="AS282" t="s">
        <v>1094</v>
      </c>
      <c r="AT282" t="s">
        <v>313</v>
      </c>
      <c r="AU282" t="s">
        <v>191</v>
      </c>
      <c r="AV282" s="30">
        <v>1</v>
      </c>
      <c r="AW282" t="s">
        <v>287</v>
      </c>
      <c r="AX282">
        <v>55</v>
      </c>
      <c r="AZ282" t="s">
        <v>829</v>
      </c>
      <c r="BA282">
        <v>2</v>
      </c>
      <c r="BB282" t="s">
        <v>289</v>
      </c>
      <c r="BC282" t="s">
        <v>243</v>
      </c>
      <c r="BE282" t="s">
        <v>398</v>
      </c>
      <c r="BF282" t="s">
        <v>292</v>
      </c>
      <c r="BG282" t="s">
        <v>298</v>
      </c>
      <c r="BH282" t="s">
        <v>281</v>
      </c>
      <c r="BI282">
        <v>2</v>
      </c>
      <c r="BJ282" t="s">
        <v>1011</v>
      </c>
      <c r="BK282" t="s">
        <v>1016</v>
      </c>
      <c r="BL282" t="s">
        <v>443</v>
      </c>
      <c r="BM282" t="s">
        <v>444</v>
      </c>
      <c r="BN282" t="str">
        <f t="shared" ref="BN282:BN287" si="42">_xlfn.CONCAT(BL282:BM282)</f>
        <v>SILENCE_MUSIC</v>
      </c>
      <c r="BO282" t="s">
        <v>267</v>
      </c>
      <c r="BQ282">
        <f t="shared" si="41"/>
        <v>13</v>
      </c>
      <c r="BR282">
        <f t="shared" si="41"/>
        <v>13</v>
      </c>
      <c r="BS282" s="35">
        <v>8.3213530660000004</v>
      </c>
      <c r="BT282" s="35">
        <v>1.0909090910000001</v>
      </c>
      <c r="BU282" s="35">
        <v>4.081808058</v>
      </c>
      <c r="BV282" s="35"/>
      <c r="BW282" s="35">
        <v>7.6871035939999999</v>
      </c>
      <c r="BX282" s="35">
        <v>1.11627907</v>
      </c>
      <c r="BY282" s="35">
        <v>4.1767338269999996</v>
      </c>
      <c r="CB282" t="s">
        <v>268</v>
      </c>
      <c r="CD282" t="s">
        <v>268</v>
      </c>
      <c r="CE282" t="s">
        <v>267</v>
      </c>
      <c r="CF282" t="s">
        <v>309</v>
      </c>
      <c r="CG282" t="s">
        <v>267</v>
      </c>
      <c r="CI282" t="s">
        <v>267</v>
      </c>
      <c r="CJ282" t="s">
        <v>997</v>
      </c>
      <c r="CK282" s="30">
        <f t="shared" si="36"/>
        <v>1</v>
      </c>
      <c r="CL282">
        <f t="shared" si="37"/>
        <v>6</v>
      </c>
    </row>
    <row r="283" spans="1:90" hidden="1" x14ac:dyDescent="0.35">
      <c r="A283" t="s">
        <v>1062</v>
      </c>
      <c r="B283" t="s">
        <v>978</v>
      </c>
      <c r="C283" t="s">
        <v>980</v>
      </c>
      <c r="D283" t="s">
        <v>979</v>
      </c>
      <c r="E283" t="s">
        <v>981</v>
      </c>
      <c r="F283">
        <v>2007</v>
      </c>
      <c r="G283" t="s">
        <v>462</v>
      </c>
      <c r="I283" t="s">
        <v>331</v>
      </c>
      <c r="K283" t="s">
        <v>180</v>
      </c>
      <c r="L283" t="s">
        <v>181</v>
      </c>
      <c r="M283" t="s">
        <v>982</v>
      </c>
      <c r="N283" t="s">
        <v>193</v>
      </c>
      <c r="O283" t="s">
        <v>187</v>
      </c>
      <c r="P283" t="s">
        <v>983</v>
      </c>
      <c r="Q283" t="s">
        <v>187</v>
      </c>
      <c r="S283" t="s">
        <v>204</v>
      </c>
      <c r="U283" t="s">
        <v>1117</v>
      </c>
      <c r="V283" t="s">
        <v>267</v>
      </c>
      <c r="X283" t="s">
        <v>269</v>
      </c>
      <c r="AE283" t="s">
        <v>274</v>
      </c>
      <c r="AF283" t="s">
        <v>1007</v>
      </c>
      <c r="AG283" t="s">
        <v>277</v>
      </c>
      <c r="AI283" t="s">
        <v>345</v>
      </c>
      <c r="AK283">
        <v>0.6</v>
      </c>
      <c r="AM283">
        <v>1</v>
      </c>
      <c r="AO283" t="s">
        <v>1104</v>
      </c>
      <c r="AP283" t="s">
        <v>281</v>
      </c>
      <c r="AQ283" t="s">
        <v>283</v>
      </c>
      <c r="AR283" t="s">
        <v>537</v>
      </c>
      <c r="AS283" t="s">
        <v>1094</v>
      </c>
      <c r="AT283" t="s">
        <v>313</v>
      </c>
      <c r="AU283" t="s">
        <v>191</v>
      </c>
      <c r="AV283" s="30">
        <v>1</v>
      </c>
      <c r="AW283" t="s">
        <v>288</v>
      </c>
      <c r="AX283">
        <v>70</v>
      </c>
      <c r="AZ283" t="s">
        <v>191</v>
      </c>
      <c r="BA283">
        <v>1</v>
      </c>
      <c r="BB283" t="s">
        <v>289</v>
      </c>
      <c r="BC283" t="s">
        <v>243</v>
      </c>
      <c r="BE283" t="s">
        <v>398</v>
      </c>
      <c r="BF283" t="s">
        <v>292</v>
      </c>
      <c r="BG283" t="s">
        <v>298</v>
      </c>
      <c r="BH283" t="s">
        <v>281</v>
      </c>
      <c r="BI283">
        <v>2</v>
      </c>
      <c r="BJ283" t="s">
        <v>1011</v>
      </c>
      <c r="BK283" t="s">
        <v>1016</v>
      </c>
      <c r="BL283" t="s">
        <v>897</v>
      </c>
      <c r="BM283" t="s">
        <v>444</v>
      </c>
      <c r="BN283" t="str">
        <f t="shared" si="42"/>
        <v>WHITENOISE_MUSIC</v>
      </c>
      <c r="BO283" t="s">
        <v>267</v>
      </c>
      <c r="BQ283">
        <f t="shared" si="41"/>
        <v>13</v>
      </c>
      <c r="BR283">
        <f t="shared" si="41"/>
        <v>13</v>
      </c>
      <c r="BS283" s="35">
        <v>7.4334038050000002</v>
      </c>
      <c r="BT283" s="35">
        <v>1.0909090910000001</v>
      </c>
      <c r="BU283" s="35">
        <v>4.081808058</v>
      </c>
      <c r="BV283" s="35"/>
      <c r="BW283" s="35">
        <v>7.6871035939999999</v>
      </c>
      <c r="BX283" s="35">
        <v>1.11627907</v>
      </c>
      <c r="BY283" s="35">
        <v>4.1767338269999996</v>
      </c>
      <c r="CB283" t="s">
        <v>268</v>
      </c>
      <c r="CD283" t="s">
        <v>268</v>
      </c>
      <c r="CE283" t="s">
        <v>267</v>
      </c>
      <c r="CF283" t="s">
        <v>309</v>
      </c>
      <c r="CG283" t="s">
        <v>267</v>
      </c>
      <c r="CI283" t="s">
        <v>267</v>
      </c>
      <c r="CJ283" t="s">
        <v>997</v>
      </c>
      <c r="CK283" s="30">
        <f t="shared" si="36"/>
        <v>1</v>
      </c>
      <c r="CL283">
        <f t="shared" si="37"/>
        <v>5</v>
      </c>
    </row>
    <row r="284" spans="1:90" hidden="1" x14ac:dyDescent="0.35">
      <c r="A284" t="s">
        <v>1063</v>
      </c>
      <c r="B284" t="s">
        <v>978</v>
      </c>
      <c r="C284" t="s">
        <v>980</v>
      </c>
      <c r="D284" t="s">
        <v>979</v>
      </c>
      <c r="E284" t="s">
        <v>981</v>
      </c>
      <c r="F284">
        <v>2007</v>
      </c>
      <c r="G284" t="s">
        <v>461</v>
      </c>
      <c r="I284" t="s">
        <v>332</v>
      </c>
      <c r="K284" t="s">
        <v>180</v>
      </c>
      <c r="L284" t="s">
        <v>181</v>
      </c>
      <c r="M284" t="s">
        <v>982</v>
      </c>
      <c r="N284" t="s">
        <v>193</v>
      </c>
      <c r="O284" t="s">
        <v>187</v>
      </c>
      <c r="P284" t="s">
        <v>983</v>
      </c>
      <c r="Q284" t="s">
        <v>187</v>
      </c>
      <c r="S284" t="s">
        <v>204</v>
      </c>
      <c r="U284" t="s">
        <v>1117</v>
      </c>
      <c r="V284" t="s">
        <v>267</v>
      </c>
      <c r="X284" t="s">
        <v>269</v>
      </c>
      <c r="AE284" t="s">
        <v>274</v>
      </c>
      <c r="AF284" t="s">
        <v>1007</v>
      </c>
      <c r="AG284" t="s">
        <v>277</v>
      </c>
      <c r="AI284" t="s">
        <v>345</v>
      </c>
      <c r="AK284">
        <v>0.6</v>
      </c>
      <c r="AM284">
        <v>1</v>
      </c>
      <c r="AO284" t="s">
        <v>1104</v>
      </c>
      <c r="AP284" t="s">
        <v>281</v>
      </c>
      <c r="AQ284" t="s">
        <v>283</v>
      </c>
      <c r="AR284" t="s">
        <v>537</v>
      </c>
      <c r="AS284" t="s">
        <v>1094</v>
      </c>
      <c r="AT284" t="s">
        <v>313</v>
      </c>
      <c r="AU284" t="s">
        <v>191</v>
      </c>
      <c r="AV284" s="30">
        <v>1</v>
      </c>
      <c r="AW284" t="s">
        <v>287</v>
      </c>
      <c r="AX284">
        <v>55</v>
      </c>
      <c r="AZ284" t="s">
        <v>829</v>
      </c>
      <c r="BA284">
        <v>2</v>
      </c>
      <c r="BB284" t="s">
        <v>289</v>
      </c>
      <c r="BC284" t="s">
        <v>239</v>
      </c>
      <c r="BE284" t="s">
        <v>434</v>
      </c>
      <c r="BF284" t="s">
        <v>293</v>
      </c>
      <c r="BG284" t="s">
        <v>299</v>
      </c>
      <c r="BH284" t="s">
        <v>281</v>
      </c>
      <c r="BI284">
        <v>2</v>
      </c>
      <c r="BJ284" t="s">
        <v>1012</v>
      </c>
      <c r="BK284" t="s">
        <v>1017</v>
      </c>
      <c r="BL284" t="s">
        <v>443</v>
      </c>
      <c r="BM284" t="s">
        <v>444</v>
      </c>
      <c r="BN284" t="str">
        <f t="shared" si="42"/>
        <v>SILENCE_MUSIC</v>
      </c>
      <c r="BO284" t="s">
        <v>267</v>
      </c>
      <c r="BQ284">
        <f>MEDIAN(13,14)</f>
        <v>13.5</v>
      </c>
      <c r="BR284">
        <f>MEDIAN(13,14)</f>
        <v>13.5</v>
      </c>
      <c r="BS284" s="35">
        <v>1041.311475</v>
      </c>
      <c r="BT284" s="35">
        <v>104.91803280000001</v>
      </c>
      <c r="BU284" s="35">
        <v>378.28734689999999</v>
      </c>
      <c r="BV284" s="35"/>
      <c r="BW284" s="35">
        <v>1088.52459</v>
      </c>
      <c r="BX284" s="35">
        <v>115.40983610000001</v>
      </c>
      <c r="BY284" s="35">
        <v>416.11608159999997</v>
      </c>
      <c r="CB284" t="s">
        <v>268</v>
      </c>
      <c r="CD284" t="s">
        <v>268</v>
      </c>
      <c r="CE284" t="s">
        <v>267</v>
      </c>
      <c r="CF284" t="s">
        <v>309</v>
      </c>
      <c r="CG284" t="s">
        <v>267</v>
      </c>
      <c r="CI284" t="s">
        <v>267</v>
      </c>
      <c r="CJ284" t="s">
        <v>997</v>
      </c>
      <c r="CK284" s="30">
        <f t="shared" si="36"/>
        <v>1</v>
      </c>
      <c r="CL284">
        <f t="shared" si="37"/>
        <v>6</v>
      </c>
    </row>
    <row r="285" spans="1:90" hidden="1" x14ac:dyDescent="0.35">
      <c r="A285" t="s">
        <v>1064</v>
      </c>
      <c r="B285" t="s">
        <v>978</v>
      </c>
      <c r="C285" t="s">
        <v>980</v>
      </c>
      <c r="D285" t="s">
        <v>979</v>
      </c>
      <c r="E285" t="s">
        <v>981</v>
      </c>
      <c r="F285">
        <v>2007</v>
      </c>
      <c r="G285" t="s">
        <v>461</v>
      </c>
      <c r="I285" t="s">
        <v>333</v>
      </c>
      <c r="K285" t="s">
        <v>180</v>
      </c>
      <c r="L285" t="s">
        <v>181</v>
      </c>
      <c r="M285" t="s">
        <v>982</v>
      </c>
      <c r="N285" t="s">
        <v>193</v>
      </c>
      <c r="O285" t="s">
        <v>187</v>
      </c>
      <c r="P285" t="s">
        <v>983</v>
      </c>
      <c r="Q285" t="s">
        <v>187</v>
      </c>
      <c r="S285" t="s">
        <v>204</v>
      </c>
      <c r="U285" t="s">
        <v>1117</v>
      </c>
      <c r="V285" t="s">
        <v>267</v>
      </c>
      <c r="X285" t="s">
        <v>269</v>
      </c>
      <c r="AE285" t="s">
        <v>274</v>
      </c>
      <c r="AF285" t="s">
        <v>1007</v>
      </c>
      <c r="AG285" t="s">
        <v>277</v>
      </c>
      <c r="AI285" t="s">
        <v>345</v>
      </c>
      <c r="AK285">
        <v>0.6</v>
      </c>
      <c r="AM285">
        <v>1</v>
      </c>
      <c r="AO285" t="s">
        <v>1104</v>
      </c>
      <c r="AP285" t="s">
        <v>281</v>
      </c>
      <c r="AQ285" t="s">
        <v>283</v>
      </c>
      <c r="AR285" t="s">
        <v>537</v>
      </c>
      <c r="AS285" t="s">
        <v>1094</v>
      </c>
      <c r="AT285" t="s">
        <v>313</v>
      </c>
      <c r="AU285" t="s">
        <v>191</v>
      </c>
      <c r="AV285" s="30">
        <v>1</v>
      </c>
      <c r="AW285" t="s">
        <v>287</v>
      </c>
      <c r="AX285">
        <v>55</v>
      </c>
      <c r="AZ285" t="s">
        <v>829</v>
      </c>
      <c r="BA285">
        <v>2</v>
      </c>
      <c r="BB285" t="s">
        <v>289</v>
      </c>
      <c r="BC285" t="s">
        <v>239</v>
      </c>
      <c r="BE285" t="s">
        <v>765</v>
      </c>
      <c r="BF285" t="s">
        <v>293</v>
      </c>
      <c r="BG285" t="s">
        <v>299</v>
      </c>
      <c r="BH285" t="s">
        <v>281</v>
      </c>
      <c r="BI285">
        <v>2</v>
      </c>
      <c r="BJ285" t="s">
        <v>1012</v>
      </c>
      <c r="BK285" t="s">
        <v>1018</v>
      </c>
      <c r="BL285" t="s">
        <v>443</v>
      </c>
      <c r="BM285" t="s">
        <v>444</v>
      </c>
      <c r="BN285" t="str">
        <f t="shared" si="42"/>
        <v>SILENCE_MUSIC</v>
      </c>
      <c r="BO285" t="s">
        <v>267</v>
      </c>
      <c r="BQ285">
        <f t="shared" ref="BQ285:BR291" si="43">MEDIAN(13,14)</f>
        <v>13.5</v>
      </c>
      <c r="BR285">
        <f t="shared" si="43"/>
        <v>13.5</v>
      </c>
      <c r="BS285" s="35">
        <v>172.212693</v>
      </c>
      <c r="BT285" s="35">
        <v>38.421955400000002</v>
      </c>
      <c r="BU285" s="35">
        <v>138.53233030000001</v>
      </c>
      <c r="BV285" s="35"/>
      <c r="BW285" s="35">
        <v>221.6123499</v>
      </c>
      <c r="BX285" s="35">
        <v>40.480274440000002</v>
      </c>
      <c r="BY285" s="35">
        <v>145.95370510000001</v>
      </c>
      <c r="CB285" t="s">
        <v>268</v>
      </c>
      <c r="CD285" t="s">
        <v>268</v>
      </c>
      <c r="CE285" t="s">
        <v>267</v>
      </c>
      <c r="CF285" t="s">
        <v>309</v>
      </c>
      <c r="CG285" t="s">
        <v>267</v>
      </c>
      <c r="CI285" t="s">
        <v>267</v>
      </c>
      <c r="CJ285" t="s">
        <v>997</v>
      </c>
      <c r="CK285" s="30">
        <f t="shared" si="36"/>
        <v>1</v>
      </c>
      <c r="CL285">
        <f t="shared" si="37"/>
        <v>6</v>
      </c>
    </row>
    <row r="286" spans="1:90" hidden="1" x14ac:dyDescent="0.35">
      <c r="A286" t="s">
        <v>1065</v>
      </c>
      <c r="B286" t="s">
        <v>978</v>
      </c>
      <c r="C286" t="s">
        <v>980</v>
      </c>
      <c r="D286" t="s">
        <v>979</v>
      </c>
      <c r="E286" t="s">
        <v>981</v>
      </c>
      <c r="F286">
        <v>2007</v>
      </c>
      <c r="G286" t="s">
        <v>461</v>
      </c>
      <c r="I286" t="s">
        <v>334</v>
      </c>
      <c r="K286" t="s">
        <v>180</v>
      </c>
      <c r="L286" t="s">
        <v>181</v>
      </c>
      <c r="M286" t="s">
        <v>982</v>
      </c>
      <c r="N286" t="s">
        <v>193</v>
      </c>
      <c r="O286" t="s">
        <v>187</v>
      </c>
      <c r="P286" t="s">
        <v>983</v>
      </c>
      <c r="Q286" t="s">
        <v>187</v>
      </c>
      <c r="S286" t="s">
        <v>204</v>
      </c>
      <c r="U286" t="s">
        <v>1117</v>
      </c>
      <c r="V286" t="s">
        <v>267</v>
      </c>
      <c r="X286" t="s">
        <v>269</v>
      </c>
      <c r="AE286" t="s">
        <v>274</v>
      </c>
      <c r="AF286" t="s">
        <v>1007</v>
      </c>
      <c r="AG286" t="s">
        <v>277</v>
      </c>
      <c r="AI286" t="s">
        <v>345</v>
      </c>
      <c r="AK286">
        <v>0.6</v>
      </c>
      <c r="AM286">
        <v>1</v>
      </c>
      <c r="AO286" t="s">
        <v>1104</v>
      </c>
      <c r="AP286" t="s">
        <v>281</v>
      </c>
      <c r="AQ286" t="s">
        <v>283</v>
      </c>
      <c r="AR286" t="s">
        <v>537</v>
      </c>
      <c r="AS286" t="s">
        <v>1094</v>
      </c>
      <c r="AT286" t="s">
        <v>313</v>
      </c>
      <c r="AU286" t="s">
        <v>191</v>
      </c>
      <c r="AV286" s="30">
        <v>1</v>
      </c>
      <c r="AW286" t="s">
        <v>287</v>
      </c>
      <c r="AX286">
        <v>55</v>
      </c>
      <c r="AZ286" t="s">
        <v>829</v>
      </c>
      <c r="BA286">
        <v>2</v>
      </c>
      <c r="BB286" t="s">
        <v>289</v>
      </c>
      <c r="BC286" t="s">
        <v>239</v>
      </c>
      <c r="BE286" t="s">
        <v>336</v>
      </c>
      <c r="BF286" t="s">
        <v>292</v>
      </c>
      <c r="BG286" t="s">
        <v>298</v>
      </c>
      <c r="BH286" t="s">
        <v>281</v>
      </c>
      <c r="BI286">
        <v>2</v>
      </c>
      <c r="BJ286" t="s">
        <v>1012</v>
      </c>
      <c r="BK286" t="s">
        <v>1019</v>
      </c>
      <c r="BL286" t="s">
        <v>443</v>
      </c>
      <c r="BM286" t="s">
        <v>444</v>
      </c>
      <c r="BN286" t="str">
        <f t="shared" si="42"/>
        <v>SILENCE_MUSIC</v>
      </c>
      <c r="BO286" t="s">
        <v>267</v>
      </c>
      <c r="BQ286">
        <f t="shared" si="43"/>
        <v>13.5</v>
      </c>
      <c r="BR286">
        <f t="shared" si="43"/>
        <v>13.5</v>
      </c>
      <c r="BS286" s="35">
        <v>11.86602871</v>
      </c>
      <c r="BT286" s="35">
        <v>1.913875598</v>
      </c>
      <c r="BU286" s="35">
        <v>6.9005766040000003</v>
      </c>
      <c r="BV286" s="35"/>
      <c r="BW286" s="35">
        <v>14.92822967</v>
      </c>
      <c r="BX286" s="35">
        <v>2.6794258370000001</v>
      </c>
      <c r="BY286" s="35">
        <v>9.6608072450000009</v>
      </c>
      <c r="CB286" t="s">
        <v>268</v>
      </c>
      <c r="CD286" t="s">
        <v>268</v>
      </c>
      <c r="CE286" t="s">
        <v>267</v>
      </c>
      <c r="CF286" t="s">
        <v>309</v>
      </c>
      <c r="CG286" t="s">
        <v>267</v>
      </c>
      <c r="CI286" t="s">
        <v>267</v>
      </c>
      <c r="CJ286" t="s">
        <v>997</v>
      </c>
      <c r="CK286" s="30">
        <f t="shared" si="36"/>
        <v>1</v>
      </c>
      <c r="CL286">
        <f t="shared" si="37"/>
        <v>6</v>
      </c>
    </row>
    <row r="287" spans="1:90" hidden="1" x14ac:dyDescent="0.35">
      <c r="A287" t="s">
        <v>1066</v>
      </c>
      <c r="B287" t="s">
        <v>978</v>
      </c>
      <c r="C287" t="s">
        <v>980</v>
      </c>
      <c r="D287" t="s">
        <v>979</v>
      </c>
      <c r="E287" t="s">
        <v>981</v>
      </c>
      <c r="F287">
        <v>2007</v>
      </c>
      <c r="G287" t="s">
        <v>461</v>
      </c>
      <c r="I287" t="s">
        <v>335</v>
      </c>
      <c r="K287" t="s">
        <v>180</v>
      </c>
      <c r="L287" t="s">
        <v>181</v>
      </c>
      <c r="M287" t="s">
        <v>982</v>
      </c>
      <c r="N287" t="s">
        <v>193</v>
      </c>
      <c r="O287" t="s">
        <v>187</v>
      </c>
      <c r="P287" t="s">
        <v>983</v>
      </c>
      <c r="Q287" t="s">
        <v>187</v>
      </c>
      <c r="S287" t="s">
        <v>204</v>
      </c>
      <c r="U287" t="s">
        <v>1117</v>
      </c>
      <c r="V287" t="s">
        <v>267</v>
      </c>
      <c r="X287" t="s">
        <v>269</v>
      </c>
      <c r="AE287" t="s">
        <v>274</v>
      </c>
      <c r="AF287" t="s">
        <v>1007</v>
      </c>
      <c r="AG287" t="s">
        <v>277</v>
      </c>
      <c r="AI287" t="s">
        <v>345</v>
      </c>
      <c r="AK287">
        <v>0.6</v>
      </c>
      <c r="AM287">
        <v>1</v>
      </c>
      <c r="AO287" t="s">
        <v>1104</v>
      </c>
      <c r="AP287" t="s">
        <v>281</v>
      </c>
      <c r="AQ287" t="s">
        <v>283</v>
      </c>
      <c r="AR287" t="s">
        <v>537</v>
      </c>
      <c r="AS287" t="s">
        <v>1094</v>
      </c>
      <c r="AT287" t="s">
        <v>313</v>
      </c>
      <c r="AU287" t="s">
        <v>191</v>
      </c>
      <c r="AV287" s="30">
        <v>1</v>
      </c>
      <c r="AW287" t="s">
        <v>287</v>
      </c>
      <c r="AX287">
        <v>55</v>
      </c>
      <c r="AZ287" t="s">
        <v>829</v>
      </c>
      <c r="BA287">
        <v>2</v>
      </c>
      <c r="BB287" t="s">
        <v>289</v>
      </c>
      <c r="BC287" t="s">
        <v>239</v>
      </c>
      <c r="BE287" t="s">
        <v>314</v>
      </c>
      <c r="BF287" t="s">
        <v>294</v>
      </c>
      <c r="BG287" t="s">
        <v>300</v>
      </c>
      <c r="BH287" t="s">
        <v>281</v>
      </c>
      <c r="BI287">
        <v>2</v>
      </c>
      <c r="BJ287" t="s">
        <v>1012</v>
      </c>
      <c r="BK287" t="s">
        <v>1020</v>
      </c>
      <c r="BL287" t="s">
        <v>443</v>
      </c>
      <c r="BM287" t="s">
        <v>444</v>
      </c>
      <c r="BN287" t="str">
        <f t="shared" si="42"/>
        <v>SILENCE_MUSIC</v>
      </c>
      <c r="BO287" t="s">
        <v>267</v>
      </c>
      <c r="BQ287">
        <f t="shared" si="43"/>
        <v>13.5</v>
      </c>
      <c r="BR287">
        <f t="shared" si="43"/>
        <v>13.5</v>
      </c>
      <c r="BS287" s="35">
        <v>8.5534591189999993</v>
      </c>
      <c r="BT287" s="35">
        <v>1.257861635</v>
      </c>
      <c r="BU287" s="35">
        <v>4.5352846229999999</v>
      </c>
      <c r="BV287" s="35"/>
      <c r="BW287" s="35">
        <v>7.7672955970000004</v>
      </c>
      <c r="BX287" s="35">
        <v>1.4779874209999999</v>
      </c>
      <c r="BY287" s="35">
        <v>5.3289594320000004</v>
      </c>
      <c r="CB287" t="s">
        <v>268</v>
      </c>
      <c r="CD287" t="s">
        <v>268</v>
      </c>
      <c r="CE287" t="s">
        <v>267</v>
      </c>
      <c r="CF287" t="s">
        <v>309</v>
      </c>
      <c r="CG287" t="s">
        <v>267</v>
      </c>
      <c r="CI287" t="s">
        <v>267</v>
      </c>
      <c r="CJ287" t="s">
        <v>997</v>
      </c>
      <c r="CK287" s="30">
        <f t="shared" si="36"/>
        <v>1</v>
      </c>
      <c r="CL287">
        <f t="shared" si="37"/>
        <v>6</v>
      </c>
    </row>
    <row r="288" spans="1:90" hidden="1" x14ac:dyDescent="0.35">
      <c r="A288" t="s">
        <v>1067</v>
      </c>
      <c r="B288" t="s">
        <v>978</v>
      </c>
      <c r="C288" t="s">
        <v>980</v>
      </c>
      <c r="D288" t="s">
        <v>979</v>
      </c>
      <c r="E288" t="s">
        <v>981</v>
      </c>
      <c r="F288">
        <v>2007</v>
      </c>
      <c r="G288" t="s">
        <v>462</v>
      </c>
      <c r="I288" t="s">
        <v>332</v>
      </c>
      <c r="K288" t="s">
        <v>180</v>
      </c>
      <c r="L288" t="s">
        <v>181</v>
      </c>
      <c r="M288" t="s">
        <v>982</v>
      </c>
      <c r="N288" t="s">
        <v>193</v>
      </c>
      <c r="O288" t="s">
        <v>187</v>
      </c>
      <c r="P288" t="s">
        <v>983</v>
      </c>
      <c r="Q288" t="s">
        <v>187</v>
      </c>
      <c r="S288" t="s">
        <v>204</v>
      </c>
      <c r="U288" t="s">
        <v>1117</v>
      </c>
      <c r="V288" t="s">
        <v>267</v>
      </c>
      <c r="X288" t="s">
        <v>269</v>
      </c>
      <c r="AE288" t="s">
        <v>274</v>
      </c>
      <c r="AF288" t="s">
        <v>1007</v>
      </c>
      <c r="AG288" t="s">
        <v>277</v>
      </c>
      <c r="AI288" t="s">
        <v>345</v>
      </c>
      <c r="AK288">
        <v>0.6</v>
      </c>
      <c r="AM288">
        <v>1</v>
      </c>
      <c r="AO288" t="s">
        <v>1104</v>
      </c>
      <c r="AP288" t="s">
        <v>281</v>
      </c>
      <c r="AQ288" t="s">
        <v>283</v>
      </c>
      <c r="AR288" t="s">
        <v>537</v>
      </c>
      <c r="AS288" t="s">
        <v>1094</v>
      </c>
      <c r="AT288" t="s">
        <v>313</v>
      </c>
      <c r="AU288" t="s">
        <v>191</v>
      </c>
      <c r="AV288" s="30">
        <v>1</v>
      </c>
      <c r="AW288" t="s">
        <v>288</v>
      </c>
      <c r="AX288">
        <v>70</v>
      </c>
      <c r="AZ288" t="s">
        <v>191</v>
      </c>
      <c r="BA288">
        <v>1</v>
      </c>
      <c r="BB288" t="s">
        <v>289</v>
      </c>
      <c r="BC288" t="s">
        <v>239</v>
      </c>
      <c r="BE288" t="s">
        <v>434</v>
      </c>
      <c r="BF288" t="s">
        <v>293</v>
      </c>
      <c r="BG288" t="s">
        <v>299</v>
      </c>
      <c r="BH288" t="s">
        <v>281</v>
      </c>
      <c r="BI288">
        <v>2</v>
      </c>
      <c r="BJ288" t="s">
        <v>1012</v>
      </c>
      <c r="BK288" t="s">
        <v>1017</v>
      </c>
      <c r="BL288" t="s">
        <v>897</v>
      </c>
      <c r="BM288" t="s">
        <v>444</v>
      </c>
      <c r="BN288" t="str">
        <f t="shared" ref="BN288:BN294" si="44">_xlfn.CONCAT(BL288:BM288)</f>
        <v>WHITENOISE_MUSIC</v>
      </c>
      <c r="BO288" t="s">
        <v>267</v>
      </c>
      <c r="BQ288">
        <f>MEDIAN(13,14)</f>
        <v>13.5</v>
      </c>
      <c r="BR288">
        <f>MEDIAN(13,14)</f>
        <v>13.5</v>
      </c>
      <c r="BS288" s="35">
        <v>1266.8852460000001</v>
      </c>
      <c r="BT288" s="35">
        <v>97.049180329999999</v>
      </c>
      <c r="BU288" s="35">
        <v>349.91579589999998</v>
      </c>
      <c r="BV288" s="35"/>
      <c r="BW288" s="35">
        <v>1088.52459</v>
      </c>
      <c r="BX288" s="35">
        <v>115.40983610000001</v>
      </c>
      <c r="BY288" s="35">
        <v>416.11608159999997</v>
      </c>
      <c r="CB288" t="s">
        <v>268</v>
      </c>
      <c r="CD288" t="s">
        <v>268</v>
      </c>
      <c r="CE288" t="s">
        <v>267</v>
      </c>
      <c r="CF288" t="s">
        <v>309</v>
      </c>
      <c r="CG288" t="s">
        <v>267</v>
      </c>
      <c r="CI288" t="s">
        <v>267</v>
      </c>
      <c r="CJ288" t="s">
        <v>997</v>
      </c>
      <c r="CK288" s="30">
        <f t="shared" si="36"/>
        <v>1</v>
      </c>
      <c r="CL288">
        <f t="shared" si="37"/>
        <v>5</v>
      </c>
    </row>
    <row r="289" spans="1:90" hidden="1" x14ac:dyDescent="0.35">
      <c r="A289" t="s">
        <v>1068</v>
      </c>
      <c r="B289" t="s">
        <v>978</v>
      </c>
      <c r="C289" t="s">
        <v>980</v>
      </c>
      <c r="D289" t="s">
        <v>979</v>
      </c>
      <c r="E289" t="s">
        <v>981</v>
      </c>
      <c r="F289">
        <v>2007</v>
      </c>
      <c r="G289" t="s">
        <v>462</v>
      </c>
      <c r="I289" t="s">
        <v>333</v>
      </c>
      <c r="K289" t="s">
        <v>180</v>
      </c>
      <c r="L289" t="s">
        <v>181</v>
      </c>
      <c r="M289" t="s">
        <v>982</v>
      </c>
      <c r="N289" t="s">
        <v>193</v>
      </c>
      <c r="O289" t="s">
        <v>187</v>
      </c>
      <c r="P289" t="s">
        <v>983</v>
      </c>
      <c r="Q289" t="s">
        <v>187</v>
      </c>
      <c r="S289" t="s">
        <v>204</v>
      </c>
      <c r="U289" t="s">
        <v>1117</v>
      </c>
      <c r="V289" t="s">
        <v>267</v>
      </c>
      <c r="X289" t="s">
        <v>269</v>
      </c>
      <c r="AE289" t="s">
        <v>274</v>
      </c>
      <c r="AF289" t="s">
        <v>1007</v>
      </c>
      <c r="AG289" t="s">
        <v>277</v>
      </c>
      <c r="AI289" t="s">
        <v>345</v>
      </c>
      <c r="AK289">
        <v>0.6</v>
      </c>
      <c r="AM289">
        <v>1</v>
      </c>
      <c r="AO289" t="s">
        <v>1104</v>
      </c>
      <c r="AP289" t="s">
        <v>281</v>
      </c>
      <c r="AQ289" t="s">
        <v>283</v>
      </c>
      <c r="AR289" t="s">
        <v>537</v>
      </c>
      <c r="AS289" t="s">
        <v>1094</v>
      </c>
      <c r="AT289" t="s">
        <v>313</v>
      </c>
      <c r="AU289" t="s">
        <v>191</v>
      </c>
      <c r="AV289" s="30">
        <v>1</v>
      </c>
      <c r="AW289" t="s">
        <v>288</v>
      </c>
      <c r="AX289">
        <v>70</v>
      </c>
      <c r="AZ289" t="s">
        <v>191</v>
      </c>
      <c r="BA289">
        <v>1</v>
      </c>
      <c r="BB289" t="s">
        <v>289</v>
      </c>
      <c r="BC289" t="s">
        <v>239</v>
      </c>
      <c r="BE289" t="s">
        <v>765</v>
      </c>
      <c r="BF289" t="s">
        <v>293</v>
      </c>
      <c r="BG289" t="s">
        <v>299</v>
      </c>
      <c r="BH289" t="s">
        <v>281</v>
      </c>
      <c r="BI289">
        <v>2</v>
      </c>
      <c r="BJ289" t="s">
        <v>1012</v>
      </c>
      <c r="BK289" t="s">
        <v>1018</v>
      </c>
      <c r="BL289" t="s">
        <v>897</v>
      </c>
      <c r="BM289" t="s">
        <v>444</v>
      </c>
      <c r="BN289" t="str">
        <f t="shared" si="44"/>
        <v>WHITENOISE_MUSIC</v>
      </c>
      <c r="BO289" t="s">
        <v>267</v>
      </c>
      <c r="BQ289">
        <f t="shared" si="43"/>
        <v>13.5</v>
      </c>
      <c r="BR289">
        <f t="shared" si="43"/>
        <v>13.5</v>
      </c>
      <c r="BS289" s="35">
        <v>238.76500859999999</v>
      </c>
      <c r="BT289" s="35">
        <v>39.108061749999997</v>
      </c>
      <c r="BU289" s="35">
        <v>141.00612190000001</v>
      </c>
      <c r="BV289" s="35"/>
      <c r="BW289" s="35">
        <v>221.6123499</v>
      </c>
      <c r="BX289" s="35">
        <v>40.480274440000002</v>
      </c>
      <c r="BY289" s="35">
        <v>145.95370510000001</v>
      </c>
      <c r="CB289" t="s">
        <v>268</v>
      </c>
      <c r="CD289" t="s">
        <v>268</v>
      </c>
      <c r="CE289" t="s">
        <v>267</v>
      </c>
      <c r="CF289" t="s">
        <v>309</v>
      </c>
      <c r="CG289" t="s">
        <v>267</v>
      </c>
      <c r="CI289" t="s">
        <v>267</v>
      </c>
      <c r="CJ289" t="s">
        <v>997</v>
      </c>
      <c r="CK289" s="30">
        <f t="shared" si="36"/>
        <v>1</v>
      </c>
      <c r="CL289">
        <f t="shared" si="37"/>
        <v>5</v>
      </c>
    </row>
    <row r="290" spans="1:90" hidden="1" x14ac:dyDescent="0.35">
      <c r="A290" t="s">
        <v>1069</v>
      </c>
      <c r="B290" t="s">
        <v>978</v>
      </c>
      <c r="C290" t="s">
        <v>980</v>
      </c>
      <c r="D290" t="s">
        <v>979</v>
      </c>
      <c r="E290" t="s">
        <v>981</v>
      </c>
      <c r="F290">
        <v>2007</v>
      </c>
      <c r="G290" t="s">
        <v>462</v>
      </c>
      <c r="I290" t="s">
        <v>334</v>
      </c>
      <c r="K290" t="s">
        <v>180</v>
      </c>
      <c r="L290" t="s">
        <v>181</v>
      </c>
      <c r="M290" t="s">
        <v>982</v>
      </c>
      <c r="N290" t="s">
        <v>193</v>
      </c>
      <c r="O290" t="s">
        <v>187</v>
      </c>
      <c r="P290" t="s">
        <v>983</v>
      </c>
      <c r="Q290" t="s">
        <v>187</v>
      </c>
      <c r="S290" t="s">
        <v>204</v>
      </c>
      <c r="U290" t="s">
        <v>1117</v>
      </c>
      <c r="V290" t="s">
        <v>267</v>
      </c>
      <c r="X290" t="s">
        <v>269</v>
      </c>
      <c r="AE290" t="s">
        <v>274</v>
      </c>
      <c r="AF290" t="s">
        <v>1007</v>
      </c>
      <c r="AG290" t="s">
        <v>277</v>
      </c>
      <c r="AI290" t="s">
        <v>345</v>
      </c>
      <c r="AK290">
        <v>0.6</v>
      </c>
      <c r="AM290">
        <v>1</v>
      </c>
      <c r="AO290" t="s">
        <v>1104</v>
      </c>
      <c r="AP290" t="s">
        <v>281</v>
      </c>
      <c r="AQ290" t="s">
        <v>283</v>
      </c>
      <c r="AR290" t="s">
        <v>537</v>
      </c>
      <c r="AS290" t="s">
        <v>1094</v>
      </c>
      <c r="AT290" t="s">
        <v>313</v>
      </c>
      <c r="AU290" t="s">
        <v>191</v>
      </c>
      <c r="AV290" s="30">
        <v>1</v>
      </c>
      <c r="AW290" t="s">
        <v>288</v>
      </c>
      <c r="AX290">
        <v>70</v>
      </c>
      <c r="AZ290" t="s">
        <v>191</v>
      </c>
      <c r="BA290">
        <v>1</v>
      </c>
      <c r="BB290" t="s">
        <v>289</v>
      </c>
      <c r="BC290" t="s">
        <v>239</v>
      </c>
      <c r="BE290" t="s">
        <v>336</v>
      </c>
      <c r="BF290" t="s">
        <v>292</v>
      </c>
      <c r="BG290" t="s">
        <v>298</v>
      </c>
      <c r="BH290" t="s">
        <v>281</v>
      </c>
      <c r="BI290">
        <v>2</v>
      </c>
      <c r="BJ290" t="s">
        <v>1012</v>
      </c>
      <c r="BK290" t="s">
        <v>1019</v>
      </c>
      <c r="BL290" t="s">
        <v>897</v>
      </c>
      <c r="BM290" t="s">
        <v>444</v>
      </c>
      <c r="BN290" t="str">
        <f t="shared" si="44"/>
        <v>WHITENOISE_MUSIC</v>
      </c>
      <c r="BO290" t="s">
        <v>267</v>
      </c>
      <c r="BQ290">
        <f t="shared" si="43"/>
        <v>13.5</v>
      </c>
      <c r="BR290">
        <f t="shared" si="43"/>
        <v>13.5</v>
      </c>
      <c r="BS290" s="35">
        <v>14.64114833</v>
      </c>
      <c r="BT290" s="35">
        <v>2.3444976080000002</v>
      </c>
      <c r="BU290" s="35">
        <v>8.4532063399999995</v>
      </c>
      <c r="BV290" s="35"/>
      <c r="BW290" s="35">
        <v>14.92822967</v>
      </c>
      <c r="BX290" s="35">
        <v>2.6794258370000001</v>
      </c>
      <c r="BY290" s="35">
        <v>9.6608072450000009</v>
      </c>
      <c r="CB290" t="s">
        <v>268</v>
      </c>
      <c r="CD290" t="s">
        <v>268</v>
      </c>
      <c r="CE290" t="s">
        <v>267</v>
      </c>
      <c r="CF290" t="s">
        <v>309</v>
      </c>
      <c r="CG290" t="s">
        <v>267</v>
      </c>
      <c r="CI290" t="s">
        <v>267</v>
      </c>
      <c r="CJ290" t="s">
        <v>997</v>
      </c>
      <c r="CK290" s="30">
        <f t="shared" si="36"/>
        <v>1</v>
      </c>
      <c r="CL290">
        <f t="shared" si="37"/>
        <v>5</v>
      </c>
    </row>
    <row r="291" spans="1:90" hidden="1" x14ac:dyDescent="0.35">
      <c r="A291" t="s">
        <v>1070</v>
      </c>
      <c r="B291" t="s">
        <v>978</v>
      </c>
      <c r="C291" t="s">
        <v>980</v>
      </c>
      <c r="D291" t="s">
        <v>979</v>
      </c>
      <c r="E291" t="s">
        <v>981</v>
      </c>
      <c r="F291">
        <v>2007</v>
      </c>
      <c r="G291" t="s">
        <v>462</v>
      </c>
      <c r="I291" t="s">
        <v>335</v>
      </c>
      <c r="K291" t="s">
        <v>180</v>
      </c>
      <c r="L291" t="s">
        <v>181</v>
      </c>
      <c r="M291" t="s">
        <v>982</v>
      </c>
      <c r="N291" t="s">
        <v>193</v>
      </c>
      <c r="O291" t="s">
        <v>187</v>
      </c>
      <c r="P291" t="s">
        <v>983</v>
      </c>
      <c r="Q291" t="s">
        <v>187</v>
      </c>
      <c r="S291" t="s">
        <v>204</v>
      </c>
      <c r="U291" t="s">
        <v>1117</v>
      </c>
      <c r="V291" t="s">
        <v>267</v>
      </c>
      <c r="X291" t="s">
        <v>269</v>
      </c>
      <c r="AE291" t="s">
        <v>274</v>
      </c>
      <c r="AF291" t="s">
        <v>1007</v>
      </c>
      <c r="AG291" t="s">
        <v>277</v>
      </c>
      <c r="AI291" t="s">
        <v>345</v>
      </c>
      <c r="AK291">
        <v>0.6</v>
      </c>
      <c r="AM291">
        <v>1</v>
      </c>
      <c r="AO291" t="s">
        <v>1104</v>
      </c>
      <c r="AP291" t="s">
        <v>281</v>
      </c>
      <c r="AQ291" t="s">
        <v>283</v>
      </c>
      <c r="AR291" t="s">
        <v>537</v>
      </c>
      <c r="AS291" t="s">
        <v>1094</v>
      </c>
      <c r="AT291" t="s">
        <v>313</v>
      </c>
      <c r="AU291" t="s">
        <v>191</v>
      </c>
      <c r="AV291" s="30">
        <v>1</v>
      </c>
      <c r="AW291" t="s">
        <v>288</v>
      </c>
      <c r="AX291">
        <v>70</v>
      </c>
      <c r="AZ291" t="s">
        <v>191</v>
      </c>
      <c r="BA291">
        <v>1</v>
      </c>
      <c r="BB291" t="s">
        <v>289</v>
      </c>
      <c r="BC291" t="s">
        <v>239</v>
      </c>
      <c r="BE291" t="s">
        <v>314</v>
      </c>
      <c r="BF291" t="s">
        <v>294</v>
      </c>
      <c r="BG291" t="s">
        <v>300</v>
      </c>
      <c r="BH291" t="s">
        <v>281</v>
      </c>
      <c r="BI291">
        <v>2</v>
      </c>
      <c r="BJ291" t="s">
        <v>1012</v>
      </c>
      <c r="BK291" t="s">
        <v>1020</v>
      </c>
      <c r="BL291" t="s">
        <v>897</v>
      </c>
      <c r="BM291" t="s">
        <v>444</v>
      </c>
      <c r="BN291" t="str">
        <f t="shared" si="44"/>
        <v>WHITENOISE_MUSIC</v>
      </c>
      <c r="BO291" t="s">
        <v>267</v>
      </c>
      <c r="BQ291">
        <f t="shared" si="43"/>
        <v>13.5</v>
      </c>
      <c r="BR291">
        <f t="shared" si="43"/>
        <v>13.5</v>
      </c>
      <c r="BS291" s="35">
        <v>10.25157233</v>
      </c>
      <c r="BT291" s="35">
        <v>1.446540881</v>
      </c>
      <c r="BU291" s="35">
        <v>5.2155773170000002</v>
      </c>
      <c r="BV291" s="35"/>
      <c r="BW291" s="35">
        <v>7.7672955970000004</v>
      </c>
      <c r="BX291" s="35">
        <v>1.4779874209999999</v>
      </c>
      <c r="BY291" s="35">
        <v>5.3289594320000004</v>
      </c>
      <c r="CB291" t="s">
        <v>268</v>
      </c>
      <c r="CD291" t="s">
        <v>268</v>
      </c>
      <c r="CE291" t="s">
        <v>267</v>
      </c>
      <c r="CF291" t="s">
        <v>309</v>
      </c>
      <c r="CG291" t="s">
        <v>267</v>
      </c>
      <c r="CI291" t="s">
        <v>267</v>
      </c>
      <c r="CJ291" t="s">
        <v>997</v>
      </c>
      <c r="CK291" s="30">
        <f t="shared" si="36"/>
        <v>1</v>
      </c>
      <c r="CL291">
        <f t="shared" si="37"/>
        <v>5</v>
      </c>
    </row>
    <row r="292" spans="1:90" hidden="1" x14ac:dyDescent="0.35">
      <c r="A292" t="s">
        <v>1071</v>
      </c>
      <c r="B292" t="s">
        <v>978</v>
      </c>
      <c r="C292" t="s">
        <v>980</v>
      </c>
      <c r="D292" t="s">
        <v>979</v>
      </c>
      <c r="E292" t="s">
        <v>981</v>
      </c>
      <c r="F292">
        <v>2007</v>
      </c>
      <c r="G292" t="s">
        <v>461</v>
      </c>
      <c r="I292" t="s">
        <v>491</v>
      </c>
      <c r="K292" t="s">
        <v>180</v>
      </c>
      <c r="L292" t="s">
        <v>181</v>
      </c>
      <c r="M292" t="s">
        <v>982</v>
      </c>
      <c r="N292" t="s">
        <v>193</v>
      </c>
      <c r="O292" t="s">
        <v>187</v>
      </c>
      <c r="P292" t="s">
        <v>983</v>
      </c>
      <c r="Q292" t="s">
        <v>187</v>
      </c>
      <c r="S292" t="s">
        <v>204</v>
      </c>
      <c r="U292" t="s">
        <v>1117</v>
      </c>
      <c r="V292" t="s">
        <v>267</v>
      </c>
      <c r="X292" t="s">
        <v>269</v>
      </c>
      <c r="AE292" t="s">
        <v>274</v>
      </c>
      <c r="AF292" t="s">
        <v>1007</v>
      </c>
      <c r="AG292" t="s">
        <v>277</v>
      </c>
      <c r="AI292" t="s">
        <v>345</v>
      </c>
      <c r="AK292">
        <v>0.6</v>
      </c>
      <c r="AM292">
        <v>1</v>
      </c>
      <c r="AO292" t="s">
        <v>1104</v>
      </c>
      <c r="AP292" t="s">
        <v>281</v>
      </c>
      <c r="AQ292" t="s">
        <v>283</v>
      </c>
      <c r="AR292" t="s">
        <v>537</v>
      </c>
      <c r="AS292" t="s">
        <v>1094</v>
      </c>
      <c r="AT292" t="s">
        <v>313</v>
      </c>
      <c r="AU292" t="s">
        <v>191</v>
      </c>
      <c r="AV292" s="30">
        <v>1</v>
      </c>
      <c r="AW292" t="s">
        <v>287</v>
      </c>
      <c r="AX292">
        <v>55</v>
      </c>
      <c r="AZ292" t="s">
        <v>829</v>
      </c>
      <c r="BA292">
        <v>2</v>
      </c>
      <c r="BB292" t="s">
        <v>289</v>
      </c>
      <c r="BC292" t="s">
        <v>247</v>
      </c>
      <c r="BE292" t="s">
        <v>998</v>
      </c>
      <c r="BF292" t="s">
        <v>291</v>
      </c>
      <c r="BG292" t="s">
        <v>297</v>
      </c>
      <c r="BH292" t="s">
        <v>281</v>
      </c>
      <c r="BI292">
        <v>2</v>
      </c>
      <c r="BJ292" t="s">
        <v>1013</v>
      </c>
      <c r="BK292" t="s">
        <v>1021</v>
      </c>
      <c r="BL292" t="s">
        <v>443</v>
      </c>
      <c r="BM292" t="s">
        <v>444</v>
      </c>
      <c r="BN292" t="str">
        <f t="shared" si="44"/>
        <v>SILENCE_MUSIC</v>
      </c>
      <c r="BO292" t="s">
        <v>267</v>
      </c>
      <c r="BQ292">
        <f>MEDIAN(13,14)</f>
        <v>13.5</v>
      </c>
      <c r="BR292">
        <f>MEDIAN(13,14)</f>
        <v>13.5</v>
      </c>
      <c r="BS292" s="35">
        <v>46.783216779999997</v>
      </c>
      <c r="BT292" s="35">
        <v>8.1818181820000007</v>
      </c>
      <c r="BU292" s="35">
        <v>29.499964980000001</v>
      </c>
      <c r="BV292" s="35"/>
      <c r="BW292" s="35">
        <v>86.223776220000005</v>
      </c>
      <c r="BX292" s="35">
        <v>11.118881119999999</v>
      </c>
      <c r="BY292" s="35">
        <v>40.089696000000004</v>
      </c>
      <c r="CB292" t="s">
        <v>268</v>
      </c>
      <c r="CD292" t="s">
        <v>268</v>
      </c>
      <c r="CE292" t="s">
        <v>267</v>
      </c>
      <c r="CF292" t="s">
        <v>309</v>
      </c>
      <c r="CG292" t="s">
        <v>267</v>
      </c>
      <c r="CI292" t="s">
        <v>267</v>
      </c>
      <c r="CJ292" t="s">
        <v>997</v>
      </c>
      <c r="CK292" s="30">
        <f t="shared" si="36"/>
        <v>1</v>
      </c>
      <c r="CL292">
        <f t="shared" si="37"/>
        <v>6</v>
      </c>
    </row>
    <row r="293" spans="1:90" hidden="1" x14ac:dyDescent="0.35">
      <c r="A293" t="s">
        <v>1072</v>
      </c>
      <c r="B293" t="s">
        <v>978</v>
      </c>
      <c r="C293" t="s">
        <v>980</v>
      </c>
      <c r="D293" t="s">
        <v>979</v>
      </c>
      <c r="E293" t="s">
        <v>981</v>
      </c>
      <c r="F293">
        <v>2007</v>
      </c>
      <c r="G293" t="s">
        <v>461</v>
      </c>
      <c r="I293" t="s">
        <v>492</v>
      </c>
      <c r="K293" t="s">
        <v>180</v>
      </c>
      <c r="L293" t="s">
        <v>181</v>
      </c>
      <c r="M293" t="s">
        <v>982</v>
      </c>
      <c r="N293" t="s">
        <v>193</v>
      </c>
      <c r="O293" t="s">
        <v>187</v>
      </c>
      <c r="P293" t="s">
        <v>983</v>
      </c>
      <c r="Q293" t="s">
        <v>187</v>
      </c>
      <c r="S293" t="s">
        <v>204</v>
      </c>
      <c r="U293" t="s">
        <v>1117</v>
      </c>
      <c r="V293" t="s">
        <v>267</v>
      </c>
      <c r="X293" t="s">
        <v>269</v>
      </c>
      <c r="AE293" t="s">
        <v>274</v>
      </c>
      <c r="AF293" t="s">
        <v>1007</v>
      </c>
      <c r="AG293" t="s">
        <v>277</v>
      </c>
      <c r="AI293" t="s">
        <v>345</v>
      </c>
      <c r="AK293">
        <v>0.6</v>
      </c>
      <c r="AM293">
        <v>1</v>
      </c>
      <c r="AO293" t="s">
        <v>1104</v>
      </c>
      <c r="AP293" t="s">
        <v>281</v>
      </c>
      <c r="AQ293" t="s">
        <v>283</v>
      </c>
      <c r="AR293" t="s">
        <v>537</v>
      </c>
      <c r="AS293" t="s">
        <v>1094</v>
      </c>
      <c r="AT293" t="s">
        <v>313</v>
      </c>
      <c r="AU293" t="s">
        <v>191</v>
      </c>
      <c r="AV293" s="30">
        <v>1</v>
      </c>
      <c r="AW293" t="s">
        <v>287</v>
      </c>
      <c r="AX293">
        <v>55</v>
      </c>
      <c r="AZ293" t="s">
        <v>829</v>
      </c>
      <c r="BA293">
        <v>2</v>
      </c>
      <c r="BB293" t="s">
        <v>289</v>
      </c>
      <c r="BC293" t="s">
        <v>247</v>
      </c>
      <c r="BE293" t="s">
        <v>295</v>
      </c>
      <c r="BF293" t="s">
        <v>291</v>
      </c>
      <c r="BG293" t="s">
        <v>297</v>
      </c>
      <c r="BH293" t="s">
        <v>281</v>
      </c>
      <c r="BI293">
        <v>2</v>
      </c>
      <c r="BJ293" t="s">
        <v>1013</v>
      </c>
      <c r="BK293" t="s">
        <v>1022</v>
      </c>
      <c r="BL293" t="s">
        <v>443</v>
      </c>
      <c r="BM293" t="s">
        <v>444</v>
      </c>
      <c r="BN293" t="str">
        <f t="shared" si="44"/>
        <v>SILENCE_MUSIC</v>
      </c>
      <c r="BO293" t="s">
        <v>268</v>
      </c>
      <c r="BQ293">
        <f t="shared" ref="BQ293:BR298" si="45">MEDIAN(13,14)</f>
        <v>13.5</v>
      </c>
      <c r="BR293">
        <f t="shared" si="45"/>
        <v>13.5</v>
      </c>
      <c r="BS293" s="35">
        <v>75.695732840000005</v>
      </c>
      <c r="BT293" s="35">
        <v>29.777365490000001</v>
      </c>
      <c r="BU293" s="35">
        <v>107.3638181</v>
      </c>
      <c r="BV293" s="35"/>
      <c r="BW293" s="35">
        <v>33.951762520000003</v>
      </c>
      <c r="BX293" s="35">
        <v>22.26345083</v>
      </c>
      <c r="BY293" s="35">
        <v>80.272013549999997</v>
      </c>
      <c r="CB293" t="s">
        <v>268</v>
      </c>
      <c r="CD293" t="s">
        <v>268</v>
      </c>
      <c r="CE293" t="s">
        <v>267</v>
      </c>
      <c r="CF293" t="s">
        <v>309</v>
      </c>
      <c r="CG293" t="s">
        <v>267</v>
      </c>
      <c r="CI293" t="s">
        <v>267</v>
      </c>
      <c r="CJ293" t="s">
        <v>997</v>
      </c>
      <c r="CK293" s="30">
        <f t="shared" si="36"/>
        <v>1</v>
      </c>
      <c r="CL293">
        <f t="shared" si="37"/>
        <v>6</v>
      </c>
    </row>
    <row r="294" spans="1:90" hidden="1" x14ac:dyDescent="0.35">
      <c r="A294" t="s">
        <v>1073</v>
      </c>
      <c r="B294" t="s">
        <v>978</v>
      </c>
      <c r="C294" t="s">
        <v>980</v>
      </c>
      <c r="D294" t="s">
        <v>979</v>
      </c>
      <c r="E294" t="s">
        <v>981</v>
      </c>
      <c r="F294">
        <v>2007</v>
      </c>
      <c r="G294" t="s">
        <v>461</v>
      </c>
      <c r="I294" t="s">
        <v>493</v>
      </c>
      <c r="K294" t="s">
        <v>180</v>
      </c>
      <c r="L294" t="s">
        <v>181</v>
      </c>
      <c r="M294" t="s">
        <v>982</v>
      </c>
      <c r="N294" t="s">
        <v>193</v>
      </c>
      <c r="O294" t="s">
        <v>187</v>
      </c>
      <c r="P294" t="s">
        <v>983</v>
      </c>
      <c r="Q294" t="s">
        <v>187</v>
      </c>
      <c r="S294" t="s">
        <v>204</v>
      </c>
      <c r="U294" t="s">
        <v>1117</v>
      </c>
      <c r="V294" t="s">
        <v>267</v>
      </c>
      <c r="X294" t="s">
        <v>269</v>
      </c>
      <c r="AE294" t="s">
        <v>274</v>
      </c>
      <c r="AF294" t="s">
        <v>1007</v>
      </c>
      <c r="AG294" t="s">
        <v>277</v>
      </c>
      <c r="AI294" t="s">
        <v>345</v>
      </c>
      <c r="AK294">
        <v>0.6</v>
      </c>
      <c r="AM294">
        <v>1</v>
      </c>
      <c r="AO294" t="s">
        <v>1104</v>
      </c>
      <c r="AP294" t="s">
        <v>281</v>
      </c>
      <c r="AQ294" t="s">
        <v>283</v>
      </c>
      <c r="AR294" t="s">
        <v>537</v>
      </c>
      <c r="AS294" t="s">
        <v>1094</v>
      </c>
      <c r="AT294" t="s">
        <v>313</v>
      </c>
      <c r="AU294" t="s">
        <v>191</v>
      </c>
      <c r="AV294" s="30">
        <v>1</v>
      </c>
      <c r="AW294" t="s">
        <v>287</v>
      </c>
      <c r="AX294">
        <v>55</v>
      </c>
      <c r="AZ294" t="s">
        <v>829</v>
      </c>
      <c r="BA294">
        <v>2</v>
      </c>
      <c r="BB294" t="s">
        <v>289</v>
      </c>
      <c r="BC294" t="s">
        <v>247</v>
      </c>
      <c r="BE294" t="s">
        <v>1010</v>
      </c>
      <c r="BF294" t="s">
        <v>294</v>
      </c>
      <c r="BG294" t="s">
        <v>300</v>
      </c>
      <c r="BH294" t="s">
        <v>281</v>
      </c>
      <c r="BI294">
        <v>2</v>
      </c>
      <c r="BJ294" t="s">
        <v>1013</v>
      </c>
      <c r="BK294" t="s">
        <v>1023</v>
      </c>
      <c r="BL294" t="s">
        <v>443</v>
      </c>
      <c r="BM294" t="s">
        <v>444</v>
      </c>
      <c r="BN294" t="str">
        <f t="shared" si="44"/>
        <v>SILENCE_MUSIC</v>
      </c>
      <c r="BO294" t="s">
        <v>267</v>
      </c>
      <c r="BQ294">
        <f t="shared" si="45"/>
        <v>13.5</v>
      </c>
      <c r="BR294">
        <f t="shared" si="45"/>
        <v>13.5</v>
      </c>
      <c r="BS294" s="35">
        <v>10.084745760000001</v>
      </c>
      <c r="BT294" s="35">
        <v>1.9067796610000001</v>
      </c>
      <c r="BU294" s="35">
        <v>6.8749918389999998</v>
      </c>
      <c r="BV294" s="35"/>
      <c r="BW294" s="35">
        <v>13.00847458</v>
      </c>
      <c r="BX294" s="35">
        <v>1.7372881360000001</v>
      </c>
      <c r="BY294" s="35">
        <v>6.2638814529999998</v>
      </c>
      <c r="CB294" t="s">
        <v>268</v>
      </c>
      <c r="CD294" t="s">
        <v>268</v>
      </c>
      <c r="CE294" t="s">
        <v>267</v>
      </c>
      <c r="CF294" t="s">
        <v>309</v>
      </c>
      <c r="CG294" t="s">
        <v>267</v>
      </c>
      <c r="CI294" t="s">
        <v>267</v>
      </c>
      <c r="CJ294" t="s">
        <v>997</v>
      </c>
      <c r="CK294" s="30">
        <f t="shared" si="36"/>
        <v>1</v>
      </c>
      <c r="CL294">
        <f t="shared" si="37"/>
        <v>6</v>
      </c>
    </row>
    <row r="295" spans="1:90" hidden="1" x14ac:dyDescent="0.35">
      <c r="A295" t="s">
        <v>1074</v>
      </c>
      <c r="B295" t="s">
        <v>978</v>
      </c>
      <c r="C295" t="s">
        <v>980</v>
      </c>
      <c r="D295" t="s">
        <v>979</v>
      </c>
      <c r="E295" t="s">
        <v>981</v>
      </c>
      <c r="F295">
        <v>2007</v>
      </c>
      <c r="G295" t="s">
        <v>462</v>
      </c>
      <c r="I295" t="s">
        <v>491</v>
      </c>
      <c r="K295" t="s">
        <v>180</v>
      </c>
      <c r="L295" t="s">
        <v>181</v>
      </c>
      <c r="M295" t="s">
        <v>982</v>
      </c>
      <c r="N295" t="s">
        <v>193</v>
      </c>
      <c r="O295" t="s">
        <v>187</v>
      </c>
      <c r="P295" t="s">
        <v>983</v>
      </c>
      <c r="Q295" t="s">
        <v>187</v>
      </c>
      <c r="S295" t="s">
        <v>204</v>
      </c>
      <c r="U295" t="s">
        <v>1117</v>
      </c>
      <c r="V295" t="s">
        <v>267</v>
      </c>
      <c r="X295" t="s">
        <v>269</v>
      </c>
      <c r="AE295" t="s">
        <v>274</v>
      </c>
      <c r="AF295" t="s">
        <v>1007</v>
      </c>
      <c r="AG295" t="s">
        <v>277</v>
      </c>
      <c r="AI295" t="s">
        <v>345</v>
      </c>
      <c r="AK295">
        <v>0.6</v>
      </c>
      <c r="AM295">
        <v>1</v>
      </c>
      <c r="AO295" t="s">
        <v>1104</v>
      </c>
      <c r="AP295" t="s">
        <v>281</v>
      </c>
      <c r="AQ295" t="s">
        <v>283</v>
      </c>
      <c r="AR295" t="s">
        <v>537</v>
      </c>
      <c r="AS295" t="s">
        <v>1094</v>
      </c>
      <c r="AT295" t="s">
        <v>313</v>
      </c>
      <c r="AU295" t="s">
        <v>191</v>
      </c>
      <c r="AV295" s="30">
        <v>1</v>
      </c>
      <c r="AW295" t="s">
        <v>288</v>
      </c>
      <c r="AX295">
        <v>70</v>
      </c>
      <c r="AZ295" t="s">
        <v>191</v>
      </c>
      <c r="BA295">
        <v>1</v>
      </c>
      <c r="BB295" t="s">
        <v>289</v>
      </c>
      <c r="BC295" t="s">
        <v>247</v>
      </c>
      <c r="BE295" t="s">
        <v>998</v>
      </c>
      <c r="BF295" t="s">
        <v>291</v>
      </c>
      <c r="BG295" t="s">
        <v>297</v>
      </c>
      <c r="BH295" t="s">
        <v>281</v>
      </c>
      <c r="BI295">
        <v>2</v>
      </c>
      <c r="BJ295" t="s">
        <v>1013</v>
      </c>
      <c r="BK295" t="s">
        <v>1021</v>
      </c>
      <c r="BL295" t="s">
        <v>897</v>
      </c>
      <c r="BM295" t="s">
        <v>444</v>
      </c>
      <c r="BN295" t="str">
        <f t="shared" ref="BN295:BN299" si="46">_xlfn.CONCAT(BL295:BM295)</f>
        <v>WHITENOISE_MUSIC</v>
      </c>
      <c r="BO295" t="s">
        <v>267</v>
      </c>
      <c r="BQ295">
        <f t="shared" si="45"/>
        <v>13.5</v>
      </c>
      <c r="BR295">
        <f t="shared" si="45"/>
        <v>13.5</v>
      </c>
      <c r="BS295" s="35">
        <v>45.524475520000003</v>
      </c>
      <c r="BT295" s="35">
        <v>6.503496503</v>
      </c>
      <c r="BU295" s="35">
        <v>23.448690110000001</v>
      </c>
      <c r="BV295" s="35"/>
      <c r="BW295" s="35">
        <v>86.223776220000005</v>
      </c>
      <c r="BX295" s="35">
        <v>11.118881119999999</v>
      </c>
      <c r="BY295" s="35">
        <v>40.089696000000004</v>
      </c>
      <c r="CB295" t="s">
        <v>268</v>
      </c>
      <c r="CD295" t="s">
        <v>268</v>
      </c>
      <c r="CE295" t="s">
        <v>267</v>
      </c>
      <c r="CF295" t="s">
        <v>309</v>
      </c>
      <c r="CG295" t="s">
        <v>267</v>
      </c>
      <c r="CI295" t="s">
        <v>267</v>
      </c>
      <c r="CJ295" t="s">
        <v>997</v>
      </c>
      <c r="CK295" s="30">
        <f t="shared" si="36"/>
        <v>1</v>
      </c>
      <c r="CL295">
        <f t="shared" si="37"/>
        <v>5</v>
      </c>
    </row>
    <row r="296" spans="1:90" hidden="1" x14ac:dyDescent="0.35">
      <c r="A296" t="s">
        <v>1075</v>
      </c>
      <c r="B296" t="s">
        <v>978</v>
      </c>
      <c r="C296" t="s">
        <v>980</v>
      </c>
      <c r="D296" t="s">
        <v>979</v>
      </c>
      <c r="E296" t="s">
        <v>981</v>
      </c>
      <c r="F296">
        <v>2007</v>
      </c>
      <c r="G296" t="s">
        <v>462</v>
      </c>
      <c r="I296" t="s">
        <v>492</v>
      </c>
      <c r="K296" t="s">
        <v>180</v>
      </c>
      <c r="L296" t="s">
        <v>181</v>
      </c>
      <c r="M296" t="s">
        <v>982</v>
      </c>
      <c r="N296" t="s">
        <v>193</v>
      </c>
      <c r="O296" t="s">
        <v>187</v>
      </c>
      <c r="P296" t="s">
        <v>983</v>
      </c>
      <c r="Q296" t="s">
        <v>187</v>
      </c>
      <c r="S296" t="s">
        <v>204</v>
      </c>
      <c r="U296" t="s">
        <v>1117</v>
      </c>
      <c r="V296" t="s">
        <v>267</v>
      </c>
      <c r="X296" t="s">
        <v>269</v>
      </c>
      <c r="AE296" t="s">
        <v>274</v>
      </c>
      <c r="AF296" t="s">
        <v>1007</v>
      </c>
      <c r="AG296" t="s">
        <v>277</v>
      </c>
      <c r="AI296" t="s">
        <v>345</v>
      </c>
      <c r="AK296">
        <v>0.6</v>
      </c>
      <c r="AM296">
        <v>1</v>
      </c>
      <c r="AO296" t="s">
        <v>1104</v>
      </c>
      <c r="AP296" t="s">
        <v>281</v>
      </c>
      <c r="AQ296" t="s">
        <v>283</v>
      </c>
      <c r="AR296" t="s">
        <v>537</v>
      </c>
      <c r="AS296" t="s">
        <v>1094</v>
      </c>
      <c r="AT296" t="s">
        <v>313</v>
      </c>
      <c r="AU296" t="s">
        <v>191</v>
      </c>
      <c r="AV296" s="30">
        <v>1</v>
      </c>
      <c r="AW296" t="s">
        <v>288</v>
      </c>
      <c r="AX296">
        <v>70</v>
      </c>
      <c r="AZ296" t="s">
        <v>191</v>
      </c>
      <c r="BA296">
        <v>1</v>
      </c>
      <c r="BB296" t="s">
        <v>289</v>
      </c>
      <c r="BC296" t="s">
        <v>247</v>
      </c>
      <c r="BE296" t="s">
        <v>295</v>
      </c>
      <c r="BF296" t="s">
        <v>291</v>
      </c>
      <c r="BG296" t="s">
        <v>297</v>
      </c>
      <c r="BH296" t="s">
        <v>281</v>
      </c>
      <c r="BI296">
        <v>2</v>
      </c>
      <c r="BJ296" t="s">
        <v>1013</v>
      </c>
      <c r="BK296" t="s">
        <v>1022</v>
      </c>
      <c r="BL296" t="s">
        <v>897</v>
      </c>
      <c r="BM296" t="s">
        <v>444</v>
      </c>
      <c r="BN296" t="str">
        <f t="shared" si="46"/>
        <v>WHITENOISE_MUSIC</v>
      </c>
      <c r="BO296" t="s">
        <v>268</v>
      </c>
      <c r="BQ296">
        <f t="shared" si="45"/>
        <v>13.5</v>
      </c>
      <c r="BR296">
        <f t="shared" si="45"/>
        <v>13.5</v>
      </c>
      <c r="BS296" s="35">
        <v>44.248608529999998</v>
      </c>
      <c r="BT296" s="35">
        <v>17.810760670000001</v>
      </c>
      <c r="BU296" s="35">
        <v>64.217610840000006</v>
      </c>
      <c r="BV296" s="35"/>
      <c r="BW296" s="35">
        <v>33.951762520000003</v>
      </c>
      <c r="BX296" s="35">
        <v>22.26345083</v>
      </c>
      <c r="BY296" s="35">
        <v>80.272013549999997</v>
      </c>
      <c r="CB296" t="s">
        <v>268</v>
      </c>
      <c r="CD296" t="s">
        <v>268</v>
      </c>
      <c r="CE296" t="s">
        <v>267</v>
      </c>
      <c r="CF296" t="s">
        <v>309</v>
      </c>
      <c r="CG296" t="s">
        <v>267</v>
      </c>
      <c r="CI296" t="s">
        <v>267</v>
      </c>
      <c r="CJ296" t="s">
        <v>997</v>
      </c>
      <c r="CK296" s="30">
        <f t="shared" si="36"/>
        <v>1</v>
      </c>
      <c r="CL296">
        <f t="shared" si="37"/>
        <v>5</v>
      </c>
    </row>
    <row r="297" spans="1:90" hidden="1" x14ac:dyDescent="0.35">
      <c r="A297" t="s">
        <v>1076</v>
      </c>
      <c r="B297" t="s">
        <v>978</v>
      </c>
      <c r="C297" t="s">
        <v>980</v>
      </c>
      <c r="D297" t="s">
        <v>979</v>
      </c>
      <c r="E297" t="s">
        <v>981</v>
      </c>
      <c r="F297">
        <v>2007</v>
      </c>
      <c r="G297" t="s">
        <v>462</v>
      </c>
      <c r="I297" t="s">
        <v>493</v>
      </c>
      <c r="K297" t="s">
        <v>180</v>
      </c>
      <c r="L297" t="s">
        <v>181</v>
      </c>
      <c r="M297" t="s">
        <v>982</v>
      </c>
      <c r="N297" t="s">
        <v>193</v>
      </c>
      <c r="O297" t="s">
        <v>187</v>
      </c>
      <c r="P297" t="s">
        <v>983</v>
      </c>
      <c r="Q297" t="s">
        <v>187</v>
      </c>
      <c r="S297" t="s">
        <v>204</v>
      </c>
      <c r="U297" t="s">
        <v>1117</v>
      </c>
      <c r="V297" t="s">
        <v>267</v>
      </c>
      <c r="X297" t="s">
        <v>269</v>
      </c>
      <c r="AE297" t="s">
        <v>274</v>
      </c>
      <c r="AF297" t="s">
        <v>1007</v>
      </c>
      <c r="AG297" t="s">
        <v>277</v>
      </c>
      <c r="AI297" t="s">
        <v>345</v>
      </c>
      <c r="AK297">
        <v>0.6</v>
      </c>
      <c r="AM297">
        <v>1</v>
      </c>
      <c r="AO297" t="s">
        <v>1104</v>
      </c>
      <c r="AP297" t="s">
        <v>281</v>
      </c>
      <c r="AQ297" t="s">
        <v>283</v>
      </c>
      <c r="AR297" t="s">
        <v>537</v>
      </c>
      <c r="AS297" t="s">
        <v>1094</v>
      </c>
      <c r="AT297" t="s">
        <v>313</v>
      </c>
      <c r="AU297" t="s">
        <v>191</v>
      </c>
      <c r="AV297" s="30">
        <v>1</v>
      </c>
      <c r="AW297" t="s">
        <v>288</v>
      </c>
      <c r="AX297">
        <v>70</v>
      </c>
      <c r="AZ297" t="s">
        <v>191</v>
      </c>
      <c r="BA297">
        <v>1</v>
      </c>
      <c r="BB297" t="s">
        <v>289</v>
      </c>
      <c r="BC297" t="s">
        <v>247</v>
      </c>
      <c r="BE297" t="s">
        <v>1010</v>
      </c>
      <c r="BF297" t="s">
        <v>294</v>
      </c>
      <c r="BG297" t="s">
        <v>300</v>
      </c>
      <c r="BH297" t="s">
        <v>281</v>
      </c>
      <c r="BI297">
        <v>2</v>
      </c>
      <c r="BJ297" t="s">
        <v>1013</v>
      </c>
      <c r="BK297" t="s">
        <v>1023</v>
      </c>
      <c r="BL297" t="s">
        <v>897</v>
      </c>
      <c r="BM297" t="s">
        <v>444</v>
      </c>
      <c r="BN297" t="str">
        <f t="shared" si="46"/>
        <v>WHITENOISE_MUSIC</v>
      </c>
      <c r="BO297" t="s">
        <v>267</v>
      </c>
      <c r="BQ297">
        <f>MEDIAN(13,14)</f>
        <v>13.5</v>
      </c>
      <c r="BR297">
        <f>MEDIAN(13,14)</f>
        <v>13.5</v>
      </c>
      <c r="BS297" s="35">
        <v>11.01694915</v>
      </c>
      <c r="BT297" s="35">
        <v>1.610169492</v>
      </c>
      <c r="BU297" s="35">
        <v>5.8055486639999998</v>
      </c>
      <c r="BV297" s="35"/>
      <c r="BW297" s="35">
        <v>13.00847458</v>
      </c>
      <c r="BX297" s="35">
        <v>1.7372881360000001</v>
      </c>
      <c r="BY297" s="35">
        <v>6.2638814529999998</v>
      </c>
      <c r="CB297" t="s">
        <v>268</v>
      </c>
      <c r="CD297" t="s">
        <v>268</v>
      </c>
      <c r="CE297" t="s">
        <v>267</v>
      </c>
      <c r="CF297" t="s">
        <v>309</v>
      </c>
      <c r="CG297" t="s">
        <v>267</v>
      </c>
      <c r="CI297" t="s">
        <v>267</v>
      </c>
      <c r="CJ297" t="s">
        <v>997</v>
      </c>
      <c r="CK297" s="30">
        <f t="shared" si="36"/>
        <v>1</v>
      </c>
      <c r="CL297">
        <f t="shared" si="37"/>
        <v>5</v>
      </c>
    </row>
    <row r="298" spans="1:90" hidden="1" x14ac:dyDescent="0.35">
      <c r="A298" t="s">
        <v>1077</v>
      </c>
      <c r="B298" t="s">
        <v>978</v>
      </c>
      <c r="C298" t="s">
        <v>980</v>
      </c>
      <c r="D298" t="s">
        <v>979</v>
      </c>
      <c r="E298" t="s">
        <v>981</v>
      </c>
      <c r="F298">
        <v>2007</v>
      </c>
      <c r="G298" t="s">
        <v>461</v>
      </c>
      <c r="I298" t="s">
        <v>541</v>
      </c>
      <c r="K298" t="s">
        <v>180</v>
      </c>
      <c r="L298" t="s">
        <v>181</v>
      </c>
      <c r="M298" t="s">
        <v>982</v>
      </c>
      <c r="N298" t="s">
        <v>193</v>
      </c>
      <c r="O298" t="s">
        <v>187</v>
      </c>
      <c r="P298" t="s">
        <v>983</v>
      </c>
      <c r="Q298" t="s">
        <v>187</v>
      </c>
      <c r="S298" t="s">
        <v>204</v>
      </c>
      <c r="U298" t="s">
        <v>1117</v>
      </c>
      <c r="V298" t="s">
        <v>267</v>
      </c>
      <c r="X298" t="s">
        <v>269</v>
      </c>
      <c r="AE298" t="s">
        <v>274</v>
      </c>
      <c r="AF298" t="s">
        <v>1007</v>
      </c>
      <c r="AG298" t="s">
        <v>277</v>
      </c>
      <c r="AI298" t="s">
        <v>345</v>
      </c>
      <c r="AK298">
        <v>0.6</v>
      </c>
      <c r="AM298">
        <v>1</v>
      </c>
      <c r="AO298" t="s">
        <v>1104</v>
      </c>
      <c r="AP298" t="s">
        <v>281</v>
      </c>
      <c r="AQ298" t="s">
        <v>283</v>
      </c>
      <c r="AR298" t="s">
        <v>537</v>
      </c>
      <c r="AS298" t="s">
        <v>1094</v>
      </c>
      <c r="AT298" t="s">
        <v>313</v>
      </c>
      <c r="AU298" t="s">
        <v>191</v>
      </c>
      <c r="AV298" s="30">
        <v>1</v>
      </c>
      <c r="AW298" t="s">
        <v>287</v>
      </c>
      <c r="AX298">
        <v>55</v>
      </c>
      <c r="AZ298" t="s">
        <v>829</v>
      </c>
      <c r="BA298">
        <v>2</v>
      </c>
      <c r="BB298" t="s">
        <v>289</v>
      </c>
      <c r="BC298" t="s">
        <v>1002</v>
      </c>
      <c r="BE298" t="s">
        <v>1003</v>
      </c>
      <c r="BF298" t="s">
        <v>294</v>
      </c>
      <c r="BG298" t="s">
        <v>300</v>
      </c>
      <c r="BH298" t="s">
        <v>281</v>
      </c>
      <c r="BI298">
        <v>2</v>
      </c>
      <c r="BJ298" t="s">
        <v>1014</v>
      </c>
      <c r="BK298" t="s">
        <v>1024</v>
      </c>
      <c r="BL298" t="s">
        <v>443</v>
      </c>
      <c r="BM298" t="s">
        <v>444</v>
      </c>
      <c r="BN298" t="str">
        <f t="shared" si="46"/>
        <v>SILENCE_MUSIC</v>
      </c>
      <c r="BO298" t="s">
        <v>268</v>
      </c>
      <c r="BQ298">
        <f t="shared" si="45"/>
        <v>13.5</v>
      </c>
      <c r="BR298">
        <f t="shared" si="45"/>
        <v>13.5</v>
      </c>
      <c r="BS298" s="35">
        <v>7.8329809729999997</v>
      </c>
      <c r="BT298" s="35">
        <v>1.078224101</v>
      </c>
      <c r="BU298" s="35">
        <v>3.8875922840000001</v>
      </c>
      <c r="BV298" s="35"/>
      <c r="BW298" s="35">
        <v>4.1860465119999999</v>
      </c>
      <c r="BX298" s="35">
        <v>0.66596194500000006</v>
      </c>
      <c r="BY298" s="35">
        <v>2.4011599399999999</v>
      </c>
      <c r="CB298" t="s">
        <v>268</v>
      </c>
      <c r="CD298" t="s">
        <v>268</v>
      </c>
      <c r="CE298" t="s">
        <v>267</v>
      </c>
      <c r="CF298" t="s">
        <v>309</v>
      </c>
      <c r="CG298" t="s">
        <v>267</v>
      </c>
      <c r="CI298" t="s">
        <v>267</v>
      </c>
      <c r="CJ298" t="s">
        <v>997</v>
      </c>
      <c r="CK298" s="30">
        <f t="shared" si="36"/>
        <v>1</v>
      </c>
      <c r="CL298">
        <f t="shared" si="37"/>
        <v>6</v>
      </c>
    </row>
    <row r="299" spans="1:90" hidden="1" x14ac:dyDescent="0.35">
      <c r="A299" t="s">
        <v>1078</v>
      </c>
      <c r="B299" t="s">
        <v>978</v>
      </c>
      <c r="C299" t="s">
        <v>980</v>
      </c>
      <c r="D299" t="s">
        <v>979</v>
      </c>
      <c r="E299" t="s">
        <v>981</v>
      </c>
      <c r="F299">
        <v>2007</v>
      </c>
      <c r="G299" t="s">
        <v>462</v>
      </c>
      <c r="I299" t="s">
        <v>541</v>
      </c>
      <c r="K299" t="s">
        <v>180</v>
      </c>
      <c r="L299" t="s">
        <v>181</v>
      </c>
      <c r="M299" t="s">
        <v>982</v>
      </c>
      <c r="N299" t="s">
        <v>193</v>
      </c>
      <c r="O299" t="s">
        <v>187</v>
      </c>
      <c r="P299" t="s">
        <v>983</v>
      </c>
      <c r="Q299" t="s">
        <v>187</v>
      </c>
      <c r="S299" t="s">
        <v>204</v>
      </c>
      <c r="U299" t="s">
        <v>1117</v>
      </c>
      <c r="V299" t="s">
        <v>267</v>
      </c>
      <c r="X299" t="s">
        <v>269</v>
      </c>
      <c r="AE299" t="s">
        <v>274</v>
      </c>
      <c r="AF299" t="s">
        <v>1007</v>
      </c>
      <c r="AG299" t="s">
        <v>277</v>
      </c>
      <c r="AI299" t="s">
        <v>345</v>
      </c>
      <c r="AK299">
        <v>0.6</v>
      </c>
      <c r="AM299">
        <v>1</v>
      </c>
      <c r="AO299" t="s">
        <v>1104</v>
      </c>
      <c r="AP299" t="s">
        <v>281</v>
      </c>
      <c r="AQ299" t="s">
        <v>283</v>
      </c>
      <c r="AR299" t="s">
        <v>537</v>
      </c>
      <c r="AS299" t="s">
        <v>1094</v>
      </c>
      <c r="AT299" t="s">
        <v>313</v>
      </c>
      <c r="AU299" t="s">
        <v>191</v>
      </c>
      <c r="AV299" s="30">
        <v>1</v>
      </c>
      <c r="AW299" t="s">
        <v>288</v>
      </c>
      <c r="AX299">
        <v>70</v>
      </c>
      <c r="AZ299" t="s">
        <v>191</v>
      </c>
      <c r="BA299">
        <v>1</v>
      </c>
      <c r="BB299" t="s">
        <v>289</v>
      </c>
      <c r="BC299" t="s">
        <v>1002</v>
      </c>
      <c r="BE299" t="s">
        <v>1003</v>
      </c>
      <c r="BF299" t="s">
        <v>294</v>
      </c>
      <c r="BG299" t="s">
        <v>300</v>
      </c>
      <c r="BH299" t="s">
        <v>281</v>
      </c>
      <c r="BI299">
        <v>2</v>
      </c>
      <c r="BJ299" t="s">
        <v>1014</v>
      </c>
      <c r="BK299" t="s">
        <v>1024</v>
      </c>
      <c r="BL299" t="s">
        <v>897</v>
      </c>
      <c r="BM299" t="s">
        <v>444</v>
      </c>
      <c r="BN299" t="str">
        <f t="shared" si="46"/>
        <v>WHITENOISE_MUSIC</v>
      </c>
      <c r="BO299" t="s">
        <v>268</v>
      </c>
      <c r="BQ299">
        <f>MEDIAN(13,14)</f>
        <v>13.5</v>
      </c>
      <c r="BR299">
        <f>MEDIAN(13,14)</f>
        <v>13.5</v>
      </c>
      <c r="BS299" s="35">
        <v>8.7209302330000007</v>
      </c>
      <c r="BT299" s="35">
        <v>1.0147991540000001</v>
      </c>
      <c r="BU299" s="35">
        <v>3.658910385</v>
      </c>
      <c r="BV299" s="35"/>
      <c r="BW299" s="35">
        <v>4.1860465119999999</v>
      </c>
      <c r="BX299" s="35">
        <v>0.66596194500000006</v>
      </c>
      <c r="BY299" s="35">
        <v>2.4011599399999999</v>
      </c>
      <c r="CB299" t="s">
        <v>268</v>
      </c>
      <c r="CD299" t="s">
        <v>268</v>
      </c>
      <c r="CE299" t="s">
        <v>267</v>
      </c>
      <c r="CF299" t="s">
        <v>309</v>
      </c>
      <c r="CG299" t="s">
        <v>267</v>
      </c>
      <c r="CI299" t="s">
        <v>267</v>
      </c>
      <c r="CJ299" t="s">
        <v>997</v>
      </c>
      <c r="CK299" s="30">
        <f t="shared" si="36"/>
        <v>1</v>
      </c>
      <c r="CL299">
        <f t="shared" si="37"/>
        <v>5</v>
      </c>
    </row>
    <row r="300" spans="1:90" ht="15" customHeight="1" x14ac:dyDescent="0.35"/>
  </sheetData>
  <autoFilter ref="A1:CL299" xr:uid="{D97D0492-E436-439A-88B9-D72064907446}">
    <filterColumn colId="53">
      <filters>
        <filter val="both"/>
      </filters>
    </filterColumn>
  </autoFilter>
  <phoneticPr fontId="8" type="noConversion"/>
  <pageMargins left="0.7" right="0.7" top="0.75" bottom="0.75" header="0.3" footer="0.3"/>
  <extLst>
    <ext xmlns:x14="http://schemas.microsoft.com/office/spreadsheetml/2009/9/main" uri="{CCE6A557-97BC-4b89-ADB6-D9C93CAAB3DF}">
      <x14:dataValidations xmlns:xm="http://schemas.microsoft.com/office/excel/2006/main" count="36">
        <x14:dataValidation type="list" allowBlank="1" showInputMessage="1" showErrorMessage="1" xr:uid="{E3AA350C-A9DF-4135-8124-E45770FEDD0F}">
          <x14:formula1>
            <xm:f>Inducing_procedures!$A$2:$A$5</xm:f>
          </x14:formula1>
          <xm:sqref>Y2:Y11</xm:sqref>
        </x14:dataValidation>
        <x14:dataValidation type="list" allowBlank="1" showInputMessage="1" showErrorMessage="1" xr:uid="{674E8B7D-5308-41E9-A135-52C6335449C7}">
          <x14:formula1>
            <xm:f>'drop-lists'!$N$2:$N$5</xm:f>
          </x14:formula1>
          <xm:sqref>BG16:BG19 BG3:BG14 BG21:BG22 BG23:BG24</xm:sqref>
        </x14:dataValidation>
        <x14:dataValidation type="list" allowBlank="1" showInputMessage="1" showErrorMessage="1" xr:uid="{C4059F7E-E181-4610-90E5-0580F34C61EF}">
          <x14:formula1>
            <xm:f>'drop-lists'!$N$2:$N$6</xm:f>
          </x14:formula1>
          <xm:sqref>BG2 BG20 BG15 BG25 BG29</xm:sqref>
        </x14:dataValidation>
        <x14:dataValidation type="list" allowBlank="1" showInputMessage="1" showErrorMessage="1" xr:uid="{68ECCFBB-BF63-4F8E-93F8-5396D4898082}">
          <x14:formula1>
            <xm:f>'drop-lists'!$C$2:$C$11</xm:f>
          </x14:formula1>
          <xm:sqref>AA29:AA66 AA2:AA24 O2:O1048576 Q2:Q1048576 AA71:AA1048576</xm:sqref>
        </x14:dataValidation>
        <x14:dataValidation type="list" allowBlank="1" showInputMessage="1" showErrorMessage="1" xr:uid="{72BCD64D-A250-4173-9D57-D95A7F8F0BA8}">
          <x14:formula1>
            <xm:f>'drop-lists'!$N$2:$N$7</xm:f>
          </x14:formula1>
          <xm:sqref>BG26:BG28 BG77 BG142:BG164 BG187:BG191 BG198:BG200 BG30:BG75 BG119:BG126</xm:sqref>
        </x14:dataValidation>
        <x14:dataValidation type="list" allowBlank="1" showInputMessage="1" showErrorMessage="1" xr:uid="{C1228999-3DB2-4945-9D92-E18C36B28210}">
          <x14:formula1>
            <xm:f>Inducing_procedures!$A$2:$A$6</xm:f>
          </x14:formula1>
          <xm:sqref>Y145 Y147 Y149 Y151 Y153 Y173:Y241 Y12:Y24 Y29:Y143</xm:sqref>
        </x14:dataValidation>
        <x14:dataValidation type="list" allowBlank="1" showInputMessage="1" showErrorMessage="1" xr:uid="{92E47288-5134-4EDA-B839-D8C2D9C57D8E}">
          <x14:formula1>
            <xm:f>'drop-lists'!$N$2:$N$8</xm:f>
          </x14:formula1>
          <xm:sqref>BG76 BG78:BG118 BG165:BG186 BG192:BG197 BG201:BG1048576 BG127:BG141</xm:sqref>
        </x14:dataValidation>
        <x14:dataValidation type="list" allowBlank="1" showInputMessage="1" showErrorMessage="1" xr:uid="{ABF0CDBE-0F5B-44AD-A435-A56820300744}">
          <x14:formula1>
            <xm:f>Inducing_procedures!$A$2:$A$7</xm:f>
          </x14:formula1>
          <xm:sqref>Y144 Y146 Y148 Y150 Y152 Y154:Y172</xm:sqref>
        </x14:dataValidation>
        <x14:dataValidation type="list" allowBlank="1" showInputMessage="1" showErrorMessage="1" xr:uid="{A60A9585-CCB0-4C08-9161-06D7F33A3FEE}">
          <x14:formula1>
            <xm:f>'drop-lists'!$H$2:$H$5</xm:f>
          </x14:formula1>
          <xm:sqref>AG144:AH144 AG164:AH164 AG146:AH146 AG148:AH148 AG150:AH150 AG152:AH152 AG162:AH162 AG155 AG158:AH158 AG161 AG163 AG160:AH160 AG167 AG142:AH142 AG143 AG165 AG145 AG147 AG149 AG151 AG154:AH154 AG153 AG156:AH156 AG157 AG159 AG166:AH166 AG168:AH168 AG169 AG170:AH170 AG171:AG1048576 AG2:AG141</xm:sqref>
        </x14:dataValidation>
        <x14:dataValidation type="list" allowBlank="1" showInputMessage="1" showErrorMessage="1" xr:uid="{1293D7E9-8A0C-4D0D-AB20-D8D99DD72DF4}">
          <x14:formula1>
            <xm:f>assays!$A$2:$A$8</xm:f>
          </x14:formula1>
          <xm:sqref>BC187:BC276 BC2:BC160</xm:sqref>
        </x14:dataValidation>
        <x14:dataValidation type="list" allowBlank="1" showInputMessage="1" showErrorMessage="1" xr:uid="{94E619A8-F6AE-46C4-B9BD-37A162521D14}">
          <x14:formula1>
            <xm:f>'drop-lists'!$M$2:$M$6</xm:f>
          </x14:formula1>
          <xm:sqref>BF195:BF197 BF204:BF209 BF2:BF160</xm:sqref>
        </x14:dataValidation>
        <x14:dataValidation type="list" allowBlank="1" showInputMessage="1" showErrorMessage="1" xr:uid="{D9926DF5-72A9-4D58-AEF2-075D36BF8876}">
          <x14:formula1>
            <xm:f>assays!$A$2:$A$9</xm:f>
          </x14:formula1>
          <xm:sqref>BC161:BC186</xm:sqref>
        </x14:dataValidation>
        <x14:dataValidation type="list" allowBlank="1" showInputMessage="1" showErrorMessage="1" xr:uid="{7FD07876-7AD0-49A4-9BD6-16693C5E6E03}">
          <x14:formula1>
            <xm:f>'drop-lists'!$M$2:$M$7</xm:f>
          </x14:formula1>
          <xm:sqref>BF161:BF194 BF198:BF203 BF210:BF1048576</xm:sqref>
        </x14:dataValidation>
        <x14:dataValidation type="list" allowBlank="1" showInputMessage="1" showErrorMessage="1" xr:uid="{77941372-ABD8-4347-84D1-9C8E2A6C6C6E}">
          <x14:formula1>
            <xm:f>'drop-lists'!$J$2:$J$7</xm:f>
          </x14:formula1>
          <xm:sqref>AQ155:AQ206</xm:sqref>
        </x14:dataValidation>
        <x14:dataValidation type="list" allowBlank="1" showInputMessage="1" showErrorMessage="1" xr:uid="{66DE7EC8-FAE5-4637-A18D-5A5A40FA00EC}">
          <x14:formula1>
            <xm:f>'drop-lists'!$J$2:$J$10</xm:f>
          </x14:formula1>
          <xm:sqref>AQ238:AQ245 AQ207:AQ236</xm:sqref>
        </x14:dataValidation>
        <x14:dataValidation type="list" allowBlank="1" showInputMessage="1" showErrorMessage="1" xr:uid="{5CE92C74-CCF4-4B3E-894A-AB0DF5671475}">
          <x14:formula1>
            <xm:f>'drop-lists'!$J$2:$J$11</xm:f>
          </x14:formula1>
          <xm:sqref>AQ237:AQ1048576</xm:sqref>
        </x14:dataValidation>
        <x14:dataValidation type="list" allowBlank="1" showInputMessage="1" showErrorMessage="1" xr:uid="{256AE405-5996-4031-A8E0-4EAD5C8FD996}">
          <x14:formula1>
            <xm:f>'drop-lists'!$Q$2:$Q$6</xm:f>
          </x14:formula1>
          <xm:sqref>CF223:CF1048576</xm:sqref>
        </x14:dataValidation>
        <x14:dataValidation type="list" allowBlank="1" showInputMessage="1" showErrorMessage="1" xr:uid="{07FC989F-6132-4B1F-AF71-AF535A619512}">
          <x14:formula1>
            <xm:f>assays!$A$2:$A$10</xm:f>
          </x14:formula1>
          <xm:sqref>BC277:BC1048576</xm:sqref>
        </x14:dataValidation>
        <x14:dataValidation type="list" allowBlank="1" showInputMessage="1" showErrorMessage="1" xr:uid="{2457FE7C-42A9-4F2B-927E-23249BB9F487}">
          <x14:formula1>
            <xm:f>'drop-lists'!$O$2:$O$3</xm:f>
          </x14:formula1>
          <xm:sqref>CD189:CD1048576</xm:sqref>
        </x14:dataValidation>
        <x14:dataValidation type="list" allowBlank="1" showInputMessage="1" showErrorMessage="1" xr:uid="{A39753DF-5F53-45DD-B534-95CE3379CEEC}">
          <x14:formula1>
            <xm:f>'drop-lists'!$P$2:$P$3</xm:f>
          </x14:formula1>
          <xm:sqref>CG189:CG1048576</xm:sqref>
        </x14:dataValidation>
        <x14:dataValidation type="list" allowBlank="1" showInputMessage="1" showErrorMessage="1" xr:uid="{B592E334-92BA-4EFC-90DD-99481B98ACB5}">
          <x14:formula1>
            <xm:f>'drop-lists'!$E$2:$E$3</xm:f>
          </x14:formula1>
          <xm:sqref>CG2:CG188 CD2:CD188 CB2:CB1048576 BO2:BO1048576 V2:V1048576</xm:sqref>
        </x14:dataValidation>
        <x14:dataValidation type="list" allowBlank="1" showInputMessage="1" showErrorMessage="1" xr:uid="{4B282722-3EE2-45D8-A453-8A3D8C3718AF}">
          <x14:formula1>
            <xm:f>'drop-lists'!$J$2:$J$5</xm:f>
          </x14:formula1>
          <xm:sqref>AQ2:AQ154</xm:sqref>
        </x14:dataValidation>
        <x14:dataValidation type="list" allowBlank="1" showInputMessage="1" showErrorMessage="1" xr:uid="{DA3D46E5-B03C-4337-960B-81E096E80BBA}">
          <x14:formula1>
            <xm:f>'drop-lists'!$Q$2:$Q$5</xm:f>
          </x14:formula1>
          <xm:sqref>CF2:CF222</xm:sqref>
        </x14:dataValidation>
        <x14:dataValidation type="list" allowBlank="1" showInputMessage="1" showErrorMessage="1" xr:uid="{C158B82F-436E-4FEF-8C2C-820D208ABA09}">
          <x14:formula1>
            <xm:f>'drop-lists'!$A$2:$A$3</xm:f>
          </x14:formula1>
          <xm:sqref>K2:K299</xm:sqref>
        </x14:dataValidation>
        <x14:dataValidation type="list" allowBlank="1" showInputMessage="1" showErrorMessage="1" xr:uid="{C6AB4A47-41DC-4C6C-BC6B-523541935FBC}">
          <x14:formula1>
            <xm:f>'drop-lists'!$B$2:$B$3</xm:f>
          </x14:formula1>
          <xm:sqref>L2:L299</xm:sqref>
        </x14:dataValidation>
        <x14:dataValidation type="list" allowBlank="1" showInputMessage="1" showErrorMessage="1" xr:uid="{3797BC4C-1BD3-49A1-A725-9B1639FC5DA4}">
          <x14:formula1>
            <xm:f>'drop-lists'!$F$2:$F$3</xm:f>
          </x14:formula1>
          <xm:sqref>X2:X1048576</xm:sqref>
        </x14:dataValidation>
        <x14:dataValidation type="list" allowBlank="1" showInputMessage="1" showErrorMessage="1" xr:uid="{B6A9DBBB-10B8-45BA-AFB9-EC1FD022444B}">
          <x14:formula1>
            <xm:f>'drop-lists'!$O$2:$O$4</xm:f>
          </x14:formula1>
          <xm:sqref>CI2:CI1048576</xm:sqref>
        </x14:dataValidation>
        <x14:dataValidation type="list" allowBlank="1" showInputMessage="1" showErrorMessage="1" xr:uid="{94AD5D11-09C3-4CD3-9A51-CAE86414DDF1}">
          <x14:formula1>
            <xm:f>'drop-lists'!$I$2:$I$5</xm:f>
          </x14:formula1>
          <xm:sqref>AP2:AP1048576 BH2:BH1048576</xm:sqref>
        </x14:dataValidation>
        <x14:dataValidation type="list" allowBlank="1" showInputMessage="1" showErrorMessage="1" xr:uid="{2E4157D6-3292-4E2B-8998-3FB621FFA312}">
          <x14:formula1>
            <xm:f>'drop-lists'!$P$2:$P$4</xm:f>
          </x14:formula1>
          <xm:sqref>CE2:CE1048576</xm:sqref>
        </x14:dataValidation>
        <x14:dataValidation type="list" allowBlank="1" showInputMessage="1" showErrorMessage="1" xr:uid="{00165ECB-DE93-4F32-9E66-672D78BFBBB6}">
          <x14:formula1>
            <xm:f>'drop-lists'!$D$2:$D$5</xm:f>
          </x14:formula1>
          <xm:sqref>N2:N1048576</xm:sqref>
        </x14:dataValidation>
        <x14:dataValidation type="list" allowBlank="1" showInputMessage="1" showErrorMessage="1" xr:uid="{1F51959F-0E42-4983-9628-E68DB795434D}">
          <x14:formula1>
            <xm:f>'experimental designs'!$A$1:$A$15</xm:f>
          </x14:formula1>
          <xm:sqref>S2:S1048576</xm:sqref>
        </x14:dataValidation>
        <x14:dataValidation type="list" allowBlank="1" showInputMessage="1" showErrorMessage="1" xr:uid="{BF100B8D-9002-4DB7-B8E3-B9990E9F8D7A}">
          <x14:formula1>
            <xm:f>'drop-lists'!$L$2:$L$5</xm:f>
          </x14:formula1>
          <xm:sqref>BB2:BB1048576</xm:sqref>
        </x14:dataValidation>
        <x14:dataValidation type="list" allowBlank="1" showInputMessage="1" showErrorMessage="1" xr:uid="{550390C3-E8DF-4294-9D00-C456D425FA7D}">
          <x14:formula1>
            <xm:f>'drop-lists'!$G$2:$G$3</xm:f>
          </x14:formula1>
          <xm:sqref>AE2:AE1048576</xm:sqref>
        </x14:dataValidation>
        <x14:dataValidation type="list" allowBlank="1" showInputMessage="1" showErrorMessage="1" xr:uid="{81BD6881-FCEA-460A-802E-6C0C9C277B54}">
          <x14:formula1>
            <xm:f>'drop-lists'!$K$2:$K$4</xm:f>
          </x14:formula1>
          <xm:sqref>AW2:AW1048576</xm:sqref>
        </x14:dataValidation>
        <x14:dataValidation type="list" allowBlank="1" showInputMessage="1" showErrorMessage="1" xr:uid="{5BF8D988-52B4-49A3-9BFF-3987FF836A9C}">
          <x14:formula1>
            <xm:f>'meta genres'!$A$2:$A$6</xm:f>
          </x14:formula1>
          <xm:sqref>AS2:AS1048576</xm:sqref>
        </x14:dataValidation>
        <x14:dataValidation type="list" allowBlank="1" showInputMessage="1" showErrorMessage="1" xr:uid="{D23B92BC-DB45-411B-A077-B8719486FAA0}">
          <x14:formula1>
            <xm:f>Music_Exposure_Duration!$A$2:$A$5</xm:f>
          </x14:formula1>
          <xm:sqref>AO2:AO1048576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EDF2-9BBE-487F-B213-3FC960124FC5}">
  <dimension ref="A1:B6"/>
  <sheetViews>
    <sheetView workbookViewId="0">
      <selection activeCell="B36" sqref="B36"/>
    </sheetView>
  </sheetViews>
  <sheetFormatPr defaultRowHeight="14.5" x14ac:dyDescent="0.35"/>
  <cols>
    <col min="1" max="1" width="29.453125" customWidth="1"/>
    <col min="2" max="2" width="158.81640625" customWidth="1"/>
  </cols>
  <sheetData>
    <row r="1" spans="1:2" x14ac:dyDescent="0.35">
      <c r="A1" s="31" t="s">
        <v>1089</v>
      </c>
      <c r="B1" s="31" t="s">
        <v>1090</v>
      </c>
    </row>
    <row r="2" spans="1:2" ht="58" x14ac:dyDescent="0.35">
      <c r="A2" t="s">
        <v>1094</v>
      </c>
      <c r="B2" s="31" t="s">
        <v>1095</v>
      </c>
    </row>
    <row r="3" spans="1:2" ht="43.5" x14ac:dyDescent="0.35">
      <c r="A3" t="s">
        <v>1096</v>
      </c>
      <c r="B3" s="31" t="s">
        <v>1097</v>
      </c>
    </row>
    <row r="4" spans="1:2" ht="43.5" x14ac:dyDescent="0.35">
      <c r="A4" t="s">
        <v>1098</v>
      </c>
      <c r="B4" s="31" t="s">
        <v>1099</v>
      </c>
    </row>
    <row r="5" spans="1:2" ht="43.5" x14ac:dyDescent="0.35">
      <c r="A5" s="31" t="s">
        <v>190</v>
      </c>
      <c r="B5" s="31" t="s">
        <v>1100</v>
      </c>
    </row>
    <row r="6" spans="1:2" ht="29.5" customHeight="1" x14ac:dyDescent="0.35">
      <c r="A6" s="31" t="s">
        <v>192</v>
      </c>
      <c r="B6" s="31" t="s">
        <v>1101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F484-6F14-4BBC-8236-8773F5AC5FDE}">
  <dimension ref="A1:F5"/>
  <sheetViews>
    <sheetView workbookViewId="0">
      <selection activeCell="A6" sqref="A6"/>
    </sheetView>
  </sheetViews>
  <sheetFormatPr defaultRowHeight="14.5" x14ac:dyDescent="0.35"/>
  <cols>
    <col min="1" max="1" width="39.453125" customWidth="1"/>
    <col min="6" max="6" width="9.81640625" bestFit="1" customWidth="1"/>
  </cols>
  <sheetData>
    <row r="1" spans="1:6" ht="15" thickBot="1" x14ac:dyDescent="0.4">
      <c r="A1" s="23" t="s">
        <v>1112</v>
      </c>
      <c r="B1" t="s">
        <v>1113</v>
      </c>
      <c r="F1" s="23"/>
    </row>
    <row r="2" spans="1:6" x14ac:dyDescent="0.35">
      <c r="A2" t="s">
        <v>1104</v>
      </c>
      <c r="B2" t="s">
        <v>1108</v>
      </c>
    </row>
    <row r="3" spans="1:6" x14ac:dyDescent="0.35">
      <c r="A3" t="s">
        <v>1105</v>
      </c>
      <c r="B3" t="s">
        <v>1109</v>
      </c>
    </row>
    <row r="4" spans="1:6" x14ac:dyDescent="0.35">
      <c r="A4" t="s">
        <v>1106</v>
      </c>
      <c r="B4" t="s">
        <v>1110</v>
      </c>
    </row>
    <row r="5" spans="1:6" x14ac:dyDescent="0.35">
      <c r="A5" t="s">
        <v>1107</v>
      </c>
      <c r="B5" t="s">
        <v>1111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13FD-26BF-467F-9085-64FCDADA8689}">
  <dimension ref="A1:Q11"/>
  <sheetViews>
    <sheetView workbookViewId="0">
      <selection activeCell="J12" sqref="J12"/>
    </sheetView>
  </sheetViews>
  <sheetFormatPr defaultRowHeight="14.5" x14ac:dyDescent="0.35"/>
  <cols>
    <col min="1" max="1" width="17.453125" customWidth="1"/>
    <col min="2" max="2" width="17.6328125" customWidth="1"/>
    <col min="3" max="3" width="10.36328125" customWidth="1"/>
  </cols>
  <sheetData>
    <row r="1" spans="1:17" x14ac:dyDescent="0.35">
      <c r="A1" t="s">
        <v>24</v>
      </c>
      <c r="B1" t="s">
        <v>26</v>
      </c>
      <c r="C1" t="s">
        <v>182</v>
      </c>
      <c r="D1" t="s">
        <v>30</v>
      </c>
      <c r="E1" t="s">
        <v>301</v>
      </c>
      <c r="F1" t="s">
        <v>271</v>
      </c>
      <c r="G1" t="s">
        <v>272</v>
      </c>
      <c r="H1" t="s">
        <v>70</v>
      </c>
      <c r="I1" t="s">
        <v>86</v>
      </c>
      <c r="J1" t="s">
        <v>88</v>
      </c>
      <c r="K1" t="s">
        <v>95</v>
      </c>
      <c r="L1" t="s">
        <v>103</v>
      </c>
      <c r="M1" t="s">
        <v>111</v>
      </c>
      <c r="N1" t="s">
        <v>296</v>
      </c>
      <c r="O1" t="s">
        <v>302</v>
      </c>
      <c r="P1" t="s">
        <v>303</v>
      </c>
      <c r="Q1" t="s">
        <v>305</v>
      </c>
    </row>
    <row r="2" spans="1:17" x14ac:dyDescent="0.35">
      <c r="A2" t="s">
        <v>178</v>
      </c>
      <c r="B2" t="s">
        <v>177</v>
      </c>
      <c r="C2" t="s">
        <v>183</v>
      </c>
      <c r="D2" t="s">
        <v>179</v>
      </c>
      <c r="E2" t="s">
        <v>267</v>
      </c>
      <c r="F2" t="s">
        <v>269</v>
      </c>
      <c r="G2" t="s">
        <v>273</v>
      </c>
      <c r="H2" t="s">
        <v>275</v>
      </c>
      <c r="I2" t="s">
        <v>281</v>
      </c>
      <c r="J2" t="s">
        <v>283</v>
      </c>
      <c r="K2" t="s">
        <v>286</v>
      </c>
      <c r="L2" t="s">
        <v>289</v>
      </c>
      <c r="M2" t="s">
        <v>291</v>
      </c>
      <c r="N2" t="s">
        <v>297</v>
      </c>
      <c r="O2" t="s">
        <v>267</v>
      </c>
      <c r="P2" t="s">
        <v>267</v>
      </c>
      <c r="Q2" t="s">
        <v>306</v>
      </c>
    </row>
    <row r="3" spans="1:17" x14ac:dyDescent="0.35">
      <c r="A3" t="s">
        <v>180</v>
      </c>
      <c r="B3" t="s">
        <v>181</v>
      </c>
      <c r="C3" t="s">
        <v>184</v>
      </c>
      <c r="D3" t="s">
        <v>193</v>
      </c>
      <c r="E3" t="s">
        <v>268</v>
      </c>
      <c r="F3" t="s">
        <v>270</v>
      </c>
      <c r="G3" t="s">
        <v>274</v>
      </c>
      <c r="H3" t="s">
        <v>276</v>
      </c>
      <c r="I3" t="s">
        <v>282</v>
      </c>
      <c r="J3" t="s">
        <v>284</v>
      </c>
      <c r="K3" t="s">
        <v>287</v>
      </c>
      <c r="L3" t="s">
        <v>290</v>
      </c>
      <c r="M3" t="s">
        <v>292</v>
      </c>
      <c r="N3" t="s">
        <v>298</v>
      </c>
      <c r="O3" t="s">
        <v>268</v>
      </c>
      <c r="P3" t="s">
        <v>268</v>
      </c>
      <c r="Q3" t="s">
        <v>307</v>
      </c>
    </row>
    <row r="4" spans="1:17" x14ac:dyDescent="0.35">
      <c r="C4" t="s">
        <v>185</v>
      </c>
      <c r="D4" t="s">
        <v>190</v>
      </c>
      <c r="H4" t="s">
        <v>277</v>
      </c>
      <c r="I4" t="s">
        <v>279</v>
      </c>
      <c r="J4" t="s">
        <v>285</v>
      </c>
      <c r="K4" t="s">
        <v>288</v>
      </c>
      <c r="L4" t="s">
        <v>279</v>
      </c>
      <c r="M4" t="s">
        <v>293</v>
      </c>
      <c r="N4" t="s">
        <v>369</v>
      </c>
      <c r="O4" t="s">
        <v>304</v>
      </c>
      <c r="P4" t="s">
        <v>191</v>
      </c>
      <c r="Q4" t="s">
        <v>308</v>
      </c>
    </row>
    <row r="5" spans="1:17" x14ac:dyDescent="0.35">
      <c r="C5" t="s">
        <v>186</v>
      </c>
      <c r="D5" t="s">
        <v>191</v>
      </c>
      <c r="H5" t="s">
        <v>278</v>
      </c>
      <c r="I5" t="s">
        <v>191</v>
      </c>
      <c r="J5" t="s">
        <v>280</v>
      </c>
      <c r="L5" t="s">
        <v>192</v>
      </c>
      <c r="M5" t="s">
        <v>294</v>
      </c>
      <c r="N5" t="s">
        <v>300</v>
      </c>
      <c r="Q5" t="s">
        <v>309</v>
      </c>
    </row>
    <row r="6" spans="1:17" x14ac:dyDescent="0.35">
      <c r="C6" t="s">
        <v>187</v>
      </c>
      <c r="J6" t="s">
        <v>751</v>
      </c>
      <c r="M6" t="s">
        <v>295</v>
      </c>
      <c r="N6" t="s">
        <v>389</v>
      </c>
      <c r="Q6" t="s">
        <v>912</v>
      </c>
    </row>
    <row r="7" spans="1:17" x14ac:dyDescent="0.35">
      <c r="C7" t="s">
        <v>188</v>
      </c>
      <c r="J7" t="s">
        <v>752</v>
      </c>
      <c r="M7" t="s">
        <v>389</v>
      </c>
      <c r="N7" t="s">
        <v>299</v>
      </c>
    </row>
    <row r="8" spans="1:17" x14ac:dyDescent="0.35">
      <c r="C8" t="s">
        <v>189</v>
      </c>
      <c r="J8" t="s">
        <v>871</v>
      </c>
      <c r="N8" t="s">
        <v>516</v>
      </c>
    </row>
    <row r="9" spans="1:17" x14ac:dyDescent="0.35">
      <c r="C9" t="s">
        <v>190</v>
      </c>
      <c r="J9" t="s">
        <v>872</v>
      </c>
    </row>
    <row r="10" spans="1:17" x14ac:dyDescent="0.35">
      <c r="C10" t="s">
        <v>191</v>
      </c>
      <c r="J10" t="s">
        <v>873</v>
      </c>
    </row>
    <row r="11" spans="1:17" x14ac:dyDescent="0.35">
      <c r="C11" t="s">
        <v>192</v>
      </c>
      <c r="J11" t="s">
        <v>964</v>
      </c>
    </row>
  </sheetData>
  <pageMargins left="0.7" right="0.7" top="0.75" bottom="0.75" header="0.3" footer="0.3"/>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DC4B-0CFE-4E71-AE9A-16526DFC5D01}">
  <dimension ref="A1:B15"/>
  <sheetViews>
    <sheetView workbookViewId="0">
      <selection activeCell="A6" sqref="A6"/>
    </sheetView>
  </sheetViews>
  <sheetFormatPr defaultRowHeight="14.5" x14ac:dyDescent="0.35"/>
  <cols>
    <col min="1" max="1" width="55.1796875" style="10" customWidth="1"/>
    <col min="2" max="2" width="144.81640625" style="10" customWidth="1"/>
  </cols>
  <sheetData>
    <row r="1" spans="1:2" ht="15" thickBot="1" x14ac:dyDescent="0.4">
      <c r="A1" s="10" t="s">
        <v>222</v>
      </c>
      <c r="B1" s="10" t="s">
        <v>223</v>
      </c>
    </row>
    <row r="2" spans="1:2" ht="29.5" thickBot="1" x14ac:dyDescent="0.4">
      <c r="A2" s="6" t="s">
        <v>194</v>
      </c>
      <c r="B2" s="7" t="s">
        <v>195</v>
      </c>
    </row>
    <row r="3" spans="1:2" ht="29.5" thickBot="1" x14ac:dyDescent="0.4">
      <c r="A3" s="8" t="s">
        <v>196</v>
      </c>
      <c r="B3" s="9" t="s">
        <v>197</v>
      </c>
    </row>
    <row r="4" spans="1:2" ht="29.5" thickBot="1" x14ac:dyDescent="0.4">
      <c r="A4" s="8" t="s">
        <v>198</v>
      </c>
      <c r="B4" s="9" t="s">
        <v>199</v>
      </c>
    </row>
    <row r="5" spans="1:2" ht="29.5" thickBot="1" x14ac:dyDescent="0.4">
      <c r="A5" s="8" t="s">
        <v>200</v>
      </c>
      <c r="B5" s="9" t="s">
        <v>201</v>
      </c>
    </row>
    <row r="6" spans="1:2" ht="29.5" thickBot="1" x14ac:dyDescent="0.4">
      <c r="A6" s="8" t="s">
        <v>202</v>
      </c>
      <c r="B6" s="9" t="s">
        <v>203</v>
      </c>
    </row>
    <row r="7" spans="1:2" ht="29.5" thickBot="1" x14ac:dyDescent="0.4">
      <c r="A7" s="8" t="s">
        <v>204</v>
      </c>
      <c r="B7" s="9" t="s">
        <v>205</v>
      </c>
    </row>
    <row r="8" spans="1:2" ht="29.5" thickBot="1" x14ac:dyDescent="0.4">
      <c r="A8" s="8" t="s">
        <v>206</v>
      </c>
      <c r="B8" s="9" t="s">
        <v>207</v>
      </c>
    </row>
    <row r="9" spans="1:2" ht="29.5" thickBot="1" x14ac:dyDescent="0.4">
      <c r="A9" s="6" t="s">
        <v>208</v>
      </c>
      <c r="B9" s="7" t="s">
        <v>209</v>
      </c>
    </row>
    <row r="10" spans="1:2" ht="29.5" thickBot="1" x14ac:dyDescent="0.4">
      <c r="A10" s="8" t="s">
        <v>210</v>
      </c>
      <c r="B10" s="9" t="s">
        <v>211</v>
      </c>
    </row>
    <row r="11" spans="1:2" ht="29.5" thickBot="1" x14ac:dyDescent="0.4">
      <c r="A11" s="8" t="s">
        <v>212</v>
      </c>
      <c r="B11" s="9" t="s">
        <v>213</v>
      </c>
    </row>
    <row r="12" spans="1:2" ht="29.5" thickBot="1" x14ac:dyDescent="0.4">
      <c r="A12" s="6" t="s">
        <v>214</v>
      </c>
      <c r="B12" s="7" t="s">
        <v>215</v>
      </c>
    </row>
    <row r="13" spans="1:2" ht="44" thickBot="1" x14ac:dyDescent="0.4">
      <c r="A13" s="8" t="s">
        <v>216</v>
      </c>
      <c r="B13" s="9" t="s">
        <v>217</v>
      </c>
    </row>
    <row r="14" spans="1:2" ht="29.5" thickBot="1" x14ac:dyDescent="0.4">
      <c r="A14" s="8" t="s">
        <v>218</v>
      </c>
      <c r="B14" s="9" t="s">
        <v>219</v>
      </c>
    </row>
    <row r="15" spans="1:2" ht="44" thickBot="1" x14ac:dyDescent="0.4">
      <c r="A15" s="11" t="s">
        <v>220</v>
      </c>
      <c r="B15" s="9" t="s">
        <v>221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4C36-0062-4E1E-8028-0DBF4C29FD0D}">
  <dimension ref="A1:C7"/>
  <sheetViews>
    <sheetView workbookViewId="0">
      <selection activeCell="C21" sqref="C21"/>
    </sheetView>
  </sheetViews>
  <sheetFormatPr defaultRowHeight="14.5" x14ac:dyDescent="0.35"/>
  <cols>
    <col min="1" max="1" width="51" customWidth="1"/>
    <col min="2" max="2" width="62" customWidth="1"/>
    <col min="3" max="3" width="54.453125" customWidth="1"/>
  </cols>
  <sheetData>
    <row r="1" spans="1:3" ht="16" thickBot="1" x14ac:dyDescent="0.4">
      <c r="A1" s="15" t="s">
        <v>224</v>
      </c>
      <c r="B1" s="12" t="s">
        <v>225</v>
      </c>
      <c r="C1" s="12" t="s">
        <v>226</v>
      </c>
    </row>
    <row r="2" spans="1:3" ht="16" thickBot="1" x14ac:dyDescent="0.4">
      <c r="A2" s="14" t="s">
        <v>227</v>
      </c>
      <c r="B2" s="13" t="s">
        <v>228</v>
      </c>
      <c r="C2" s="13" t="s">
        <v>229</v>
      </c>
    </row>
    <row r="3" spans="1:3" ht="16" thickBot="1" x14ac:dyDescent="0.4">
      <c r="A3" s="14" t="s">
        <v>230</v>
      </c>
      <c r="B3" s="13" t="s">
        <v>231</v>
      </c>
      <c r="C3" s="13" t="s">
        <v>232</v>
      </c>
    </row>
    <row r="4" spans="1:3" ht="16" thickBot="1" x14ac:dyDescent="0.4">
      <c r="A4" s="14" t="s">
        <v>233</v>
      </c>
      <c r="B4" s="13" t="s">
        <v>234</v>
      </c>
      <c r="C4" s="13" t="s">
        <v>235</v>
      </c>
    </row>
    <row r="5" spans="1:3" ht="16" thickBot="1" x14ac:dyDescent="0.4">
      <c r="A5" s="16" t="s">
        <v>236</v>
      </c>
      <c r="B5" s="13" t="s">
        <v>237</v>
      </c>
      <c r="C5" s="13" t="s">
        <v>238</v>
      </c>
    </row>
    <row r="6" spans="1:3" ht="15.5" x14ac:dyDescent="0.35">
      <c r="A6" s="16" t="s">
        <v>408</v>
      </c>
      <c r="C6" s="22" t="s">
        <v>409</v>
      </c>
    </row>
    <row r="7" spans="1:3" ht="15.5" x14ac:dyDescent="0.35">
      <c r="A7" s="16" t="s">
        <v>726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1D66-B9D1-41F9-A95B-5E8E3000F890}">
  <dimension ref="A1:D10"/>
  <sheetViews>
    <sheetView topLeftCell="A4" workbookViewId="0">
      <selection activeCell="A11" sqref="A11"/>
    </sheetView>
  </sheetViews>
  <sheetFormatPr defaultRowHeight="14.5" x14ac:dyDescent="0.35"/>
  <cols>
    <col min="1" max="1" width="18.36328125" customWidth="1"/>
    <col min="2" max="2" width="14.36328125" customWidth="1"/>
    <col min="3" max="3" width="15.6328125" customWidth="1"/>
    <col min="4" max="4" width="32.90625" customWidth="1"/>
  </cols>
  <sheetData>
    <row r="1" spans="1:4" ht="44" thickBot="1" x14ac:dyDescent="0.4">
      <c r="A1" s="20" t="s">
        <v>224</v>
      </c>
      <c r="B1" s="17" t="s">
        <v>254</v>
      </c>
      <c r="C1" s="17" t="s">
        <v>255</v>
      </c>
      <c r="D1" s="17" t="s">
        <v>256</v>
      </c>
    </row>
    <row r="2" spans="1:4" ht="102" thickBot="1" x14ac:dyDescent="0.4">
      <c r="A2" s="18" t="s">
        <v>239</v>
      </c>
      <c r="B2" s="7" t="s">
        <v>240</v>
      </c>
      <c r="C2" s="7" t="s">
        <v>241</v>
      </c>
      <c r="D2" s="7" t="s">
        <v>242</v>
      </c>
    </row>
    <row r="3" spans="1:4" ht="87.5" thickBot="1" x14ac:dyDescent="0.4">
      <c r="A3" s="19" t="s">
        <v>243</v>
      </c>
      <c r="B3" s="9" t="s">
        <v>244</v>
      </c>
      <c r="C3" s="9" t="s">
        <v>245</v>
      </c>
      <c r="D3" s="9" t="s">
        <v>246</v>
      </c>
    </row>
    <row r="4" spans="1:4" ht="131" thickBot="1" x14ac:dyDescent="0.4">
      <c r="A4" s="19" t="s">
        <v>247</v>
      </c>
      <c r="B4" s="9" t="s">
        <v>240</v>
      </c>
      <c r="C4" s="9" t="s">
        <v>248</v>
      </c>
      <c r="D4" s="9" t="s">
        <v>249</v>
      </c>
    </row>
    <row r="5" spans="1:4" ht="116.5" thickBot="1" x14ac:dyDescent="0.4">
      <c r="A5" s="19" t="s">
        <v>250</v>
      </c>
      <c r="B5" s="9" t="s">
        <v>251</v>
      </c>
      <c r="C5" s="9" t="s">
        <v>252</v>
      </c>
      <c r="D5" s="9" t="s">
        <v>253</v>
      </c>
    </row>
    <row r="6" spans="1:4" ht="87.5" thickBot="1" x14ac:dyDescent="0.4">
      <c r="A6" s="18" t="s">
        <v>257</v>
      </c>
      <c r="B6" s="7" t="s">
        <v>258</v>
      </c>
      <c r="C6" s="7" t="s">
        <v>259</v>
      </c>
      <c r="D6" s="7" t="s">
        <v>260</v>
      </c>
    </row>
    <row r="7" spans="1:4" ht="87.5" thickBot="1" x14ac:dyDescent="0.4">
      <c r="A7" s="19" t="s">
        <v>261</v>
      </c>
      <c r="B7" s="9" t="s">
        <v>262</v>
      </c>
      <c r="C7" s="9" t="s">
        <v>263</v>
      </c>
      <c r="D7" s="9" t="s">
        <v>264</v>
      </c>
    </row>
    <row r="8" spans="1:4" ht="87.5" thickBot="1" x14ac:dyDescent="0.4">
      <c r="A8" s="21" t="s">
        <v>265</v>
      </c>
      <c r="B8" s="9" t="s">
        <v>262</v>
      </c>
      <c r="C8" s="9" t="s">
        <v>266</v>
      </c>
      <c r="D8" s="9" t="s">
        <v>264</v>
      </c>
    </row>
    <row r="9" spans="1:4" x14ac:dyDescent="0.35">
      <c r="A9" s="21" t="s">
        <v>761</v>
      </c>
    </row>
    <row r="10" spans="1:4" x14ac:dyDescent="0.35">
      <c r="A10" s="21" t="s">
        <v>1002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extract</vt:lpstr>
      <vt:lpstr>meta genres</vt:lpstr>
      <vt:lpstr>Music_Exposure_Duration</vt:lpstr>
      <vt:lpstr>drop-lists</vt:lpstr>
      <vt:lpstr>experimental designs</vt:lpstr>
      <vt:lpstr>Inducing_procedures</vt:lpstr>
      <vt:lpstr>assays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Ortega Ramirez</dc:creator>
  <cp:lastModifiedBy>J. Santiago Ortega Ramírez</cp:lastModifiedBy>
  <dcterms:created xsi:type="dcterms:W3CDTF">2025-11-05T23:29:08Z</dcterms:created>
  <dcterms:modified xsi:type="dcterms:W3CDTF">2026-09-15T17:11:52Z</dcterms:modified>
</cp:coreProperties>
</file>